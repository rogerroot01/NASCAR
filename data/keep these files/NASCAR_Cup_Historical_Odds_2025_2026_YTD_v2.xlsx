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de667e643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fa2474c8604784"/>
    <x:sheet xmlns:r="http://schemas.openxmlformats.org/officeDocument/2006/relationships" name="Winner_Odds" sheetId="2" r:id="R34df3103d58149c6"/>
    <x:sheet xmlns:r="http://schemas.openxmlformats.org/officeDocument/2006/relationships" name="Top3_Archive_Hits" sheetId="3" r:id="R8c9022d314d24c5a"/>
    <x:sheet xmlns:r="http://schemas.openxmlformats.org/officeDocument/2006/relationships" name="Coverage" sheetId="4" r:id="Rdb2ece95473c44c7"/>
    <x:sheet xmlns:r="http://schemas.openxmlformats.org/officeDocument/2006/relationships" name="README" sheetId="5" r:id="Ra3c7bb466e3a419d"/>
    <x:sheet xmlns:r="http://schemas.openxmlformats.org/officeDocument/2006/relationships" name="Top3_Calibration" sheetId="6" r:id="R255b50920bf842d0"/>
    <x:sheet xmlns:r="http://schemas.openxmlformats.org/officeDocument/2006/relationships" name="Estimated_Top3" sheetId="7" r:id="R8ef94ab7e2da4ad9"/>
    <x:sheet xmlns:r="http://schemas.openxmlformats.org/officeDocument/2006/relationships" name="Qualifying_Odds_Hits" sheetId="8" r:id="Re5c0a2cb71bb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+0;-0;0"/>
    <x:numFmt numFmtId="202" formatCode="0.00"/>
    <x:numFmt numFmtId="203" formatCode="0.0%"/>
    <x:numFmt numFmtId="204" formatCode="0.0000"/>
    <x:numFmt numFmtId="205" formatCode="0.0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233C"/>
      <x:name val="Carlito"/>
    </x:font>
    <x:font>
      <x:b/>
      <x:sz val="11"/>
      <x:color rgb="FF9A3412"/>
      <x:name val="Carlito"/>
    </x:font>
    <x:font>
      <x:b/>
      <x:sz val="14"/>
      <x:name val="Carlito"/>
    </x:font>
    <x:font>
      <x:b/>
      <x:sz val="11"/>
      <x:name val="Carlito"/>
    </x:font>
    <x:font>
      <x:b/>
      <x:sz val="12"/>
      <x:color rgb="FF7C2D12"/>
      <x:name val="Carlito"/>
    </x:font>
    <x:font>
      <x:b/>
      <x:sz val="11"/>
      <x:color rgb="FF7C2D12"/>
      <x:name val="Carlito"/>
    </x:font>
    <x:font>
      <x:b/>
      <x:sz val="14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F26A21"/>
      </x:patternFill>
    </x:fill>
    <x:fill>
      <x:patternFill patternType="solid">
        <x:fgColor rgb="FFE8EEF8"/>
      </x:patternFill>
    </x:fill>
    <x:fill>
      <x:patternFill patternType="solid">
        <x:fgColor rgb="FFFCE8DA"/>
      </x:patternFill>
    </x:fill>
    <x:fill>
      <x:patternFill patternType="solid">
        <x:fgColor rgb="FFF3F4F6"/>
      </x:patternFill>
    </x:fill>
    <x:fill>
      <x:patternFill patternType="solid">
        <x:fgColor rgb="FF17233C"/>
      </x:patternFill>
    </x:fill>
    <x:fill>
      <x:patternFill patternType="solid">
        <x:fgColor rgb="FFF26A21"/>
      </x:patternFill>
    </x:fill>
    <x:fill>
      <x:patternFill patternType="solid">
        <x:fgColor rgb="FFE8EEF8"/>
      </x:patternFill>
    </x:fill>
    <x:fill>
      <x:patternFill patternType="solid">
        <x:fgColor rgb="FFF3F4F6"/>
      </x:patternFill>
    </x:fill>
    <x:fill>
      <x:patternFill patternType="solid">
        <x:fgColor rgb="FFFCE8DA"/>
      </x:patternFill>
    </x:fill>
  </x:fills>
  <x:borders count="18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203" fontId="6" fillId="6" borderId="0" xfId="0" applyNumberFormat="1" applyFont="1" applyFill="1" applyBorder="1" applyAlignment="1">
      <x:alignment horizontal="center"/>
    </x:xf>
    <x:xf numFmtId="203" fontId="6" fillId="6" borderId="1" xfId="0" applyNumberFormat="1" applyFont="1" applyFill="1" applyBorder="1" applyAlignment="1">
      <x:alignment horizontal="center"/>
    </x:xf>
    <x:xf numFmtId="201" fontId="6" fillId="6" borderId="0" xfId="0" applyNumberFormat="1" applyFont="1" applyFill="1" applyBorder="1" applyAlignment="1">
      <x:alignment horizontal="center"/>
    </x:xf>
    <x:xf numFmtId="201" fontId="6" fillId="6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203" fontId="0" fillId="0" borderId="6" xfId="0" applyNumberFormat="1" applyFont="1" applyFill="1" applyBorder="1"/>
    <x:xf numFmtId="0" fontId="0" fillId="0" borderId="7" xfId="0" applyNumberFormat="1" applyFont="1" applyFill="1" applyBorder="1"/>
    <x:xf numFmtId="203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/>
    <x:xf numFmtId="203" fontId="0" fillId="0" borderId="14" xfId="0" applyNumberFormat="1" applyFont="1" applyFill="1" applyBorder="1"/>
    <x:xf numFmtId="0" fontId="0" fillId="0" borderId="15" xfId="0" applyNumberFormat="1" applyFont="1" applyFill="1" applyBorder="1"/>
    <x:xf numFmtId="203" fontId="0" fillId="0" borderId="16" xfId="0" applyNumberFormat="1" applyFont="1" applyFill="1" applyBorder="1"/>
    <x:xf numFmtId="203" fontId="0" fillId="0" borderId="17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left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10" borderId="0" xfId="0" applyNumberFormat="1" applyFont="1" applyFill="1" applyBorder="1" applyAlignment="1">
      <x:alignment wrapText="1"/>
    </x:xf>
    <x:xf numFmtId="203" fontId="0" fillId="10" borderId="0" xfId="0" applyNumberFormat="1" applyFont="1" applyFill="1" applyBorder="1" applyAlignment="1">
      <x:alignment wrapText="1"/>
    </x:xf>
    <x:xf numFmtId="205" fontId="0" fillId="1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 applyAlignment="1">
      <x:alignment horizontal="center" wrapText="1"/>
    </x:xf>
    <x:xf numFmtId="0" fontId="1" fillId="10" borderId="3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/>
    <x:xf numFmtId="0" fontId="9" fillId="10" borderId="3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/>
    </x:xf>
    <x:xf numFmtId="0" fontId="7" fillId="11" borderId="0" xfId="0" applyNumberFormat="1" applyFont="1" applyFill="1" applyBorder="1" applyAlignment="1">
      <x:alignment horizontal="left" vertical="center" wrapText="1"/>
    </x:xf>
    <x:xf numFmtId="0" fontId="8" fillId="11" borderId="0" xfId="0" applyNumberFormat="1" applyFont="1" applyFill="1" applyBorder="1" applyAlignment="1">
      <x:alignment horizontal="left" vertical="center" wrapText="1"/>
    </x:xf>
    <x:xf numFmtId="0" fontId="3" fillId="9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9A3412"/>
      </x:font>
      <x:fill>
        <x:patternFill>
          <x:bgColor rgb="FFFCE8DA"/>
        </x:patternFill>
      </x:fill>
    </x:dxf>
    <x:dxf>
      <x:fill>
        <x:patternFill>
          <x:bgColor rgb="FFDDF3E4"/>
        </x:patternFill>
      </x:fill>
    </x:dxf>
    <x:dxf>
      <x:fill>
        <x:patternFill>
          <x:bgColor rgb="FFFDE2E2"/>
        </x:patternFill>
      </x:fill>
    </x:dxf>
    <x:dxf>
      <x:font>
        <x:b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af34ca3e0472a" /><Relationship Type="http://schemas.openxmlformats.org/officeDocument/2006/relationships/theme" Target="/xl/theme/theme1.xml" Id="R2b34cb2b508341e1" /><Relationship Type="http://schemas.openxmlformats.org/officeDocument/2006/relationships/sharedStrings" Target="/xl/sharedStrings.xml" Id="Rc65041a7643e4bab" /><Relationship Type="http://schemas.openxmlformats.org/officeDocument/2006/relationships/worksheet" Target="/xl/worksheets/sheet1.xml" Id="Reefa2474c8604784" /><Relationship Type="http://schemas.openxmlformats.org/officeDocument/2006/relationships/worksheet" Target="/xl/worksheets/sheet2.xml" Id="R34df3103d58149c6" /><Relationship Type="http://schemas.openxmlformats.org/officeDocument/2006/relationships/worksheet" Target="/xl/worksheets/sheet3.xml" Id="R8c9022d314d24c5a" /><Relationship Type="http://schemas.openxmlformats.org/officeDocument/2006/relationships/worksheet" Target="/xl/worksheets/sheet4.xml" Id="Rdb2ece95473c44c7" /><Relationship Type="http://schemas.openxmlformats.org/officeDocument/2006/relationships/worksheet" Target="/xl/worksheets/sheet5.xml" Id="Ra3c7bb466e3a419d" /><Relationship Type="http://schemas.openxmlformats.org/officeDocument/2006/relationships/worksheet" Target="/xl/worksheets/sheet6.xml" Id="R255b50920bf842d0" /><Relationship Type="http://schemas.openxmlformats.org/officeDocument/2006/relationships/worksheet" Target="/xl/worksheets/sheet7.xml" Id="R8ef94ab7e2da4ad9" /><Relationship Type="http://schemas.openxmlformats.org/officeDocument/2006/relationships/worksheet" Target="/xl/worksheets/sheet8.xml" Id="Re5c0a2cb71bb48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2ed5fa20ea47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Implied Probability of the Eventual Winner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 Winner Implied Probability</c:v>
          </c:tx>
          <c:cat>
            <c:strRef>
              <c:f>'Summary'!$A$11:$A$46</c:f>
              <c:strCache>
                <c:ptCount val="0"/>
              </c:strCache>
            </c:strRef>
          </c:cat>
          <c:val>
            <c:numRef>
              <c:f>'Summary'!$B$11:$B$46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2026 Winner Implied Probability</c:v>
          </c:tx>
          <c:cat>
            <c:strRef>
              <c:f>'Summary'!$A$11:$A$46</c:f>
              <c:strCache>
                <c:ptCount val="0"/>
              </c:strCache>
            </c:strRef>
          </c:cat>
          <c:val>
            <c:numRef>
              <c:f>'Summary'!$C$11:$C$46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2ed5fa20ea47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innerOddsTable" displayName="WinnerOddsTable" ref="A1:N57" headerRowCount="1">
  <x:tableColumns count="14">
    <x:tableColumn id="1" name="Season"/>
    <x:tableColumn id="2" name="Race #"/>
    <x:tableColumn id="3" name="Race Date"/>
    <x:tableColumn id="4" name="Race"/>
    <x:tableColumn id="5" name="Track"/>
    <x:tableColumn id="6" name="Actual Winner"/>
    <x:tableColumn id="7" name="Winner Odds (American)"/>
    <x:tableColumn id="8" name="Winner Odds (Decimal)"/>
    <x:tableColumn id="9" name="Implied Probability"/>
    <x:tableColumn id="10" name="Sportsbook"/>
    <x:tableColumn id="11" name="Odds As Of"/>
    <x:tableColumn id="12" name="Source URL"/>
    <x:tableColumn id="13" name="Source Quality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op3HitsTable" displayName="Top3HitsTable" ref="A1:L14" headerRowCount="1">
  <x:tableColumns count="12">
    <x:tableColumn id="1" name="Season"/>
    <x:tableColumn id="2" name="Race #"/>
    <x:tableColumn id="3" name="Race Date"/>
    <x:tableColumn id="4" name="Race"/>
    <x:tableColumn id="5" name="Driver"/>
    <x:tableColumn id="6" name="Top-3 Odds (American)"/>
    <x:tableColumn id="7" name="Top-3 Odds (Decimal)"/>
    <x:tableColumn id="8" name="Implied Probability"/>
    <x:tableColumn id="9" name="Sportsbook"/>
    <x:tableColumn id="10" name="Odds As Of"/>
    <x:tableColumn id="11" name="Source URL"/>
    <x:tableColumn id="12" name="Verification Note"/>
  </x:tableColumns>
  <x:tableStyleInfo name="TableStyleMedium2" showRowStripes="1"/>
</x:table>
</file>

<file path=xl/tables/table3.xml><?xml version="1.0" encoding="utf-8"?>
<x:table xmlns:x="http://schemas.openxmlformats.org/spreadsheetml/2006/main" id="3" name="CoverageTable" displayName="CoverageTable" ref="A1:H57" headerRowCount="1">
  <x:tableColumns count="8">
    <x:tableColumn id="1" name="Season"/>
    <x:tableColumn id="2" name="Race #"/>
    <x:tableColumn id="3" name="Race Date"/>
    <x:tableColumn id="4" name="Race"/>
    <x:tableColumn id="5" name="Winner Price"/>
    <x:tableColumn id="6" name="Outright Board in Source"/>
    <x:tableColumn id="7" name="Verified Top-3 Quotes"/>
    <x:tableColumn id="8" name="Top-3 Market Status"/>
  </x:tableColumns>
  <x:tableStyleInfo name="TableStyleMedium2" showRowStripes="1"/>
</x:table>
</file>

<file path=xl/tables/table4.xml><?xml version="1.0" encoding="utf-8"?>
<x:table xmlns:x="http://schemas.openxmlformats.org/spreadsheetml/2006/main" id="4" name="Top3CalibrationTable" displayName="Top3CalibrationTable" ref="A1:O15" headerRowCount="1">
  <x:tableColumns count="15">
    <x:tableColumn id="1" name="Season"/>
    <x:tableColumn id="2" name="Race #"/>
    <x:tableColumn id="3" name="Race Date"/>
    <x:tableColumn id="4" name="Race"/>
    <x:tableColumn id="5" name="Driver"/>
    <x:tableColumn id="6" name="Win Odds"/>
    <x:tableColumn id="7" name="Top-3 Odds"/>
    <x:tableColumn id="8" name="Win Implied Prob."/>
    <x:tableColumn id="9" name="Top-3 Implied Prob."/>
    <x:tableColumn id="10" name="LN Win Prob."/>
    <x:tableColumn id="11" name="LN Top-3 Prob."/>
    <x:tableColumn id="12" name="Books"/>
    <x:tableColumn id="13" name="Winner Source"/>
    <x:tableColumn id="14" name="Top-3 Source"/>
    <x:tableColumn id="15" name="Matching Note"/>
  </x:tableColumns>
  <x:tableStyleInfo name="TableStyleMedium2" showRowStripes="1"/>
</x:table>
</file>

<file path=xl/tables/table5.xml><?xml version="1.0" encoding="utf-8"?>
<x:table xmlns:x="http://schemas.openxmlformats.org/spreadsheetml/2006/main" id="5" name="EstimatedTop3Table" displayName="EstimatedTop3Table" ref="A1:M57" headerRowCount="1">
  <x:tableColumns count="13">
    <x:tableColumn id="1" name="Season"/>
    <x:tableColumn id="2" name="Race #"/>
    <x:tableColumn id="3" name="Race Date"/>
    <x:tableColumn id="4" name="Race"/>
    <x:tableColumn id="5" name="Track"/>
    <x:tableColumn id="6" name="Driver"/>
    <x:tableColumn id="7" name="Winner Odds"/>
    <x:tableColumn id="8" name="Winner Implied Prob."/>
    <x:tableColumn id="9" name="Estimated Top-3 Prob."/>
    <x:tableColumn id="10" name="Estimated Top-3 Odds"/>
    <x:tableColumn id="11" name="Estimate Status"/>
    <x:tableColumn id="12" name="Model"/>
    <x:tableColumn id="13" name="Winner Source"/>
  </x:tableColumns>
  <x:tableStyleInfo name="TableStyleMedium2" showRowStripes="1"/>
</x:table>
</file>

<file path=xl/tables/table6.xml><?xml version="1.0" encoding="utf-8"?>
<x:table xmlns:x="http://schemas.openxmlformats.org/spreadsheetml/2006/main" id="6" name="QualifyingOddsTable" displayName="QualifyingOddsTable" ref="A8:K46" headerRowCount="1">
  <x:tableColumns count="11">
    <x:tableColumn id="1" name="Season"/>
    <x:tableColumn id="2" name="Qualifying Date"/>
    <x:tableColumn id="3" name="Event"/>
    <x:tableColumn id="4" name="Market"/>
    <x:tableColumn id="5" name="Driver"/>
    <x:tableColumn id="6" name="American Odds"/>
    <x:tableColumn id="7" name="Sportsbook"/>
    <x:tableColumn id="8" name="Odds As Of"/>
    <x:tableColumn id="9" name="Source URL"/>
    <x:tableColumn id="10" name="Archive Quality"/>
    <x:tableColumn id="11" name="Won Pole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5e1409ad174c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8247e54e8a40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1d6920005448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252e368c7349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4a3c27442fe48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1996d73d80044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0f1c6928cfe4ed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29" hidden="0" customWidth="1"/>
    <x:col min="4" max="4" width="35" hidden="0" customWidth="1"/>
    <x:col min="5" max="5" width="18" hidden="0" customWidth="1"/>
    <x:col min="7" max="7" width="44" hidden="0" customWidth="1"/>
    <x:col min="8" max="8" width="23" hidden="0" customWidth="1"/>
  </x:cols>
  <x:sheetData>
    <x:row r="1">
      <x:c r="A1" s="46" t="str">
        <x:v>NASCAR Cup Odds Reconstruction — 2025 &amp; 2026 YTD</x:v>
      </x:c>
      <x:c r="B1" s="46"/>
      <x:c r="C1" s="46"/>
      <x:c r="D1" s="46"/>
      <x:c r="E1" s="46"/>
      <x:c r="F1" s="46"/>
      <x:c r="G1" s="46"/>
      <x:c r="H1" s="46"/>
    </x:row>
    <x:row r="2">
      <x:c r="A2" s="46"/>
      <x:c r="B2" s="46"/>
      <x:c r="C2" s="46"/>
      <x:c r="D2" s="46"/>
      <x:c r="E2" s="46"/>
      <x:c r="F2" s="46"/>
      <x:c r="G2" s="46"/>
      <x:c r="H2" s="46"/>
    </x:row>
    <x:row r="4" ht="30" customHeight="1">
      <x:c r="A4" s="62" t="str">
        <x:v>Metric</x:v>
      </x:c>
      <x:c r="B4" s="62" t="str">
        <x:v>Value</x:v>
      </x:c>
      <x:c r="D4" s="62" t="str">
        <x:v>Season Metric</x:v>
      </x:c>
      <x:c r="E4" s="62" t="str">
        <x:v>Value</x:v>
      </x:c>
      <x:c r="G4" s="131" t="str">
        <x:v>Bottom line
Winner outright reconstruction: complete for all 56 points races.
Estimated Top-3 prices: complete for those 56 eventual winners using a calibrated power-law relationship.
Qualifying markets: a full 2026 Daytona pole board and an older archived pole quote were located.</x:v>
      </x:c>
      <x:c r="H4" s="97"/>
    </x:row>
    <x:row r="5" ht="30" customHeight="1">
      <x:c r="A5" s="51" t="str">
        <x:v>Races covered</x:v>
      </x:c>
      <x:c r="B5" s="66" t="n">
        <x:f>COUNTA(Winner_Odds!A2:A57)</x:f>
        <x:v>56</x:v>
      </x:c>
      <x:c r="D5" s="51" t="str">
        <x:v>2025 avg winner implied probability</x:v>
      </x:c>
      <x:c r="E5" s="74" t="n">
        <x:f>SUMIF(Winner_Odds!A2:A57,2025,Winner_Odds!I2:I57)/COUNTIF(Winner_Odds!A2:A57,2025)</x:f>
        <x:v>0.17258711957092268</x:v>
      </x:c>
      <x:c r="G5" s="131"/>
      <x:c r="H5" s="97"/>
    </x:row>
    <x:row r="6" ht="30" customHeight="1">
      <x:c r="A6" s="51" t="str">
        <x:v>2025 winner prices</x:v>
      </x:c>
      <x:c r="B6" s="66" t="n">
        <x:f>COUNTIF(Winner_Odds!A2:A57,2025)</x:f>
        <x:v>36</x:v>
      </x:c>
      <x:c r="D6" s="51" t="str">
        <x:v>2026 avg winner implied probability</x:v>
      </x:c>
      <x:c r="E6" s="74" t="n">
        <x:f>SUMIF(Winner_Odds!A2:A57,2026,Winner_Odds!I2:I57)/COUNTIF(Winner_Odds!A2:A57,2026)</x:f>
        <x:v>0.19120798419178703</x:v>
      </x:c>
      <x:c r="G6" s="131"/>
      <x:c r="H6" s="97"/>
    </x:row>
    <x:row r="7" ht="30" customHeight="1">
      <x:c r="A7" s="51" t="str">
        <x:v>2026 winner prices</x:v>
      </x:c>
      <x:c r="B7" s="66" t="n">
        <x:f>COUNTIF(Winner_Odds!A2:A57,2026)</x:f>
        <x:v>20</x:v>
      </x:c>
      <x:c r="D7" s="51" t="str">
        <x:v>Largest winner price</x:v>
      </x:c>
      <x:c r="E7" s="76" t="n">
        <x:f>MAX(Winner_Odds!G2:G57)</x:f>
        <x:v>17000</x:v>
      </x:c>
      <x:c r="G7" s="131"/>
      <x:c r="H7" s="97"/>
    </x:row>
    <x:row r="8" ht="30" customHeight="1">
      <x:c r="A8" s="51" t="str">
        <x:v>Explicit archived Top-3 quotes</x:v>
      </x:c>
      <x:c r="B8" s="66" t="n">
        <x:f>COUNTA(Top3_Archive_Hits!A2:A100)</x:f>
        <x:v>13</x:v>
      </x:c>
      <x:c r="D8" s="51" t="str">
        <x:v>Shortest winner price</x:v>
      </x:c>
      <x:c r="E8" s="76" t="n">
        <x:f>MIN(Winner_Odds!G2:G57)</x:f>
        <x:v>-165</x:v>
      </x:c>
      <x:c r="G8" s="131"/>
      <x:c r="H8" s="97"/>
    </x:row>
    <x:row r="9" ht="30" customHeight="1">
      <x:c r="A9" s="108" t="str">
        <x:v>Estimated Top-3 prices</x:v>
      </x:c>
      <x:c r="B9" s="129" t="n">
        <x:f>COUNTA(Estimated_Top3!A2:A57)</x:f>
        <x:v>56</x:v>
      </x:c>
      <x:c r="G9" s="131"/>
      <x:c r="H9" s="97"/>
    </x:row>
    <x:row r="10">
      <x:c r="A10" s="125" t="str">
        <x:v>Qualifying odds rows located</x:v>
      </x:c>
      <x:c r="B10" s="128" t="n">
        <x:f>COUNTA(Qualifying_Odds_Hits!A9:A46)</x:f>
        <x:v>38</x:v>
      </x:c>
      <x:c r="C10" s="80" t="str">
        <x:v>2026 Winner Implied Probability</x:v>
      </x:c>
      <x:c r="G10" s="123"/>
    </x:row>
    <x:row r="11">
      <x:c r="A11" s="81" t="n">
        <x:v>1</x:v>
      </x:c>
      <x:c r="B11" s="40" t="n">
        <x:f>Winner_Odds!I2</x:f>
        <x:v>0.06666666666666667</x:v>
      </x:c>
      <x:c r="C11" s="82" t="n">
        <x:f>Winner_Odds!I38</x:f>
        <x:v>0.024390243902439025</x:v>
      </x:c>
    </x:row>
    <x:row r="12">
      <x:c r="A12" s="81" t="n">
        <x:v>2</x:v>
      </x:c>
      <x:c r="B12" s="40" t="n">
        <x:f>Winner_Odds!I3</x:f>
        <x:v>0.038461538461538464</x:v>
      </x:c>
      <x:c r="C12" s="82" t="n">
        <x:f>Winner_Odds!I39</x:f>
        <x:v>0.043478260869565216</x:v>
      </x:c>
    </x:row>
    <x:row r="13">
      <x:c r="A13" s="81" t="n">
        <x:v>3</x:v>
      </x:c>
      <x:c r="B13" s="40" t="n">
        <x:f>Winner_Odds!I4</x:f>
        <x:v>0.0625</x:v>
      </x:c>
      <x:c r="C13" s="82" t="n">
        <x:f>Winner_Odds!I40</x:f>
        <x:v>0.2</x:v>
      </x:c>
    </x:row>
    <x:row r="14">
      <x:c r="A14" s="81" t="n">
        <x:v>4</x:v>
      </x:c>
      <x:c r="B14" s="40" t="n">
        <x:f>Winner_Odds!I5</x:f>
        <x:v>0.13333333333333333</x:v>
      </x:c>
      <x:c r="C14" s="82" t="n">
        <x:f>Winner_Odds!I41</x:f>
        <x:v>0.2597402597402597</x:v>
      </x:c>
    </x:row>
    <x:row r="15">
      <x:c r="A15" s="81" t="n">
        <x:v>5</x:v>
      </x:c>
      <x:c r="B15" s="40" t="n">
        <x:f>Winner_Odds!I6</x:f>
        <x:v>0.024390243902439025</x:v>
      </x:c>
      <x:c r="C15" s="82" t="n">
        <x:f>Winner_Odds!I42</x:f>
        <x:v>0.15384615384615385</x:v>
      </x:c>
    </x:row>
    <x:row r="16">
      <x:c r="A16" s="81" t="n">
        <x:v>6</x:v>
      </x:c>
      <x:c r="B16" s="40" t="n">
        <x:f>Winner_Odds!I7</x:f>
        <x:v>0.2597402597402597</x:v>
      </x:c>
      <x:c r="C16" s="82" t="n">
        <x:f>Winner_Odds!I43</x:f>
        <x:v>0.25</x:v>
      </x:c>
    </x:row>
    <x:row r="17">
      <x:c r="A17" s="81" t="n">
        <x:v>7</x:v>
      </x:c>
      <x:c r="B17" s="40" t="n">
        <x:f>Winner_Odds!I8</x:f>
        <x:v>0.15384615384615385</x:v>
      </x:c>
      <x:c r="C17" s="82" t="n">
        <x:f>Winner_Odds!I44</x:f>
        <x:v>0.14285714285714285</x:v>
      </x:c>
    </x:row>
    <x:row r="18">
      <x:c r="A18" s="81" t="n">
        <x:v>8</x:v>
      </x:c>
      <x:c r="B18" s="40" t="n">
        <x:f>Winner_Odds!I9</x:f>
        <x:v>0.1111111111111111</x:v>
      </x:c>
      <x:c r="C18" s="82" t="n">
        <x:f>Winner_Odds!I45</x:f>
        <x:v>0.125</x:v>
      </x:c>
    </x:row>
    <x:row r="19">
      <x:c r="A19" s="81" t="n">
        <x:v>9</x:v>
      </x:c>
      <x:c r="B19" s="40" t="n">
        <x:f>Winner_Odds!I10</x:f>
        <x:v>0.2597402597402597</x:v>
      </x:c>
      <x:c r="C19" s="82" t="n">
        <x:f>Winner_Odds!I46</x:f>
        <x:v>0.23255813953488372</x:v>
      </x:c>
    </x:row>
    <x:row r="20">
      <x:c r="A20" s="81" t="n">
        <x:v>10</x:v>
      </x:c>
      <x:c r="B20" s="40" t="n">
        <x:f>Winner_Odds!I11</x:f>
        <x:v>0.07692307692307693</x:v>
      </x:c>
      <x:c r="C20" s="82" t="n">
        <x:f>Winner_Odds!I47</x:f>
        <x:v>0.07692307692307693</x:v>
      </x:c>
    </x:row>
    <x:row r="21">
      <x:c r="A21" s="81" t="n">
        <x:v>11</x:v>
      </x:c>
      <x:c r="B21" s="40" t="n">
        <x:f>Winner_Odds!I12</x:f>
        <x:v>0.047619047619047616</x:v>
      </x:c>
      <x:c r="C21" s="82" t="n">
        <x:f>Winner_Odds!I48</x:f>
        <x:v>0.06666666666666667</x:v>
      </x:c>
    </x:row>
    <x:row r="22">
      <x:c r="A22" s="81" t="n">
        <x:v>12</x:v>
      </x:c>
      <x:c r="B22" s="40" t="n">
        <x:f>Winner_Odds!I13</x:f>
        <x:v>0.2857142857142857</x:v>
      </x:c>
      <x:c r="C22" s="82" t="n">
        <x:f>Winner_Odds!I49</x:f>
        <x:v>0.574468085106383</x:v>
      </x:c>
    </x:row>
    <x:row r="23">
      <x:c r="A23" s="81" t="n">
        <x:v>13</x:v>
      </x:c>
      <x:c r="B23" s="40" t="n">
        <x:f>Winner_Odds!I14</x:f>
        <x:v>0.05263157894736842</x:v>
      </x:c>
      <x:c r="C23" s="82" t="n">
        <x:f>Winner_Odds!I50</x:f>
        <x:v>0.005847953216374269</x:v>
      </x:c>
    </x:row>
    <x:row r="24">
      <x:c r="A24" s="81" t="n">
        <x:v>14</x:v>
      </x:c>
      <x:c r="B24" s="40" t="n">
        <x:f>Winner_Odds!I15</x:f>
        <x:v>0.1111111111111111</x:v>
      </x:c>
      <x:c r="C24" s="82" t="n">
        <x:f>Winner_Odds!I51</x:f>
        <x:v>0.2597402597402597</x:v>
      </x:c>
    </x:row>
    <x:row r="25">
      <x:c r="A25" s="81" t="n">
        <x:v>15</x:v>
      </x:c>
      <x:c r="B25" s="40" t="n">
        <x:f>Winner_Odds!I16</x:f>
        <x:v>0.15384615384615385</x:v>
      </x:c>
      <x:c r="C25" s="82" t="n">
        <x:f>Winner_Odds!I52</x:f>
        <x:v>0.2127659574468085</x:v>
      </x:c>
    </x:row>
    <x:row r="26">
      <x:c r="A26" s="81" t="n">
        <x:v>16</x:v>
      </x:c>
      <x:c r="B26" s="40" t="n">
        <x:f>Winner_Odds!I17</x:f>
        <x:v>0.3333333333333333</x:v>
      </x:c>
      <x:c r="C26" s="82" t="n">
        <x:f>Winner_Odds!I53</x:f>
        <x:v>0.38461538461538464</x:v>
      </x:c>
    </x:row>
    <x:row r="27">
      <x:c r="A27" s="81" t="n">
        <x:v>17</x:v>
      </x:c>
      <x:c r="B27" s="40" t="n">
        <x:f>Winner_Odds!I18</x:f>
        <x:v>0.043478260869565216</x:v>
      </x:c>
      <x:c r="C27" s="82" t="n">
        <x:f>Winner_Odds!I54</x:f>
        <x:v>0.01098901098901099</x:v>
      </x:c>
    </x:row>
    <x:row r="28">
      <x:c r="A28" s="81" t="n">
        <x:v>18</x:v>
      </x:c>
      <x:c r="B28" s="40" t="n">
        <x:f>Winner_Odds!I19</x:f>
        <x:v>0.06666666666666667</x:v>
      </x:c>
      <x:c r="C28" s="82" t="n">
        <x:f>Winner_Odds!I55</x:f>
        <x:v>0.6226415094339622</x:v>
      </x:c>
    </x:row>
    <x:row r="29">
      <x:c r="A29" s="81" t="n">
        <x:v>19</x:v>
      </x:c>
      <x:c r="B29" s="40" t="n">
        <x:f>Winner_Odds!I20</x:f>
        <x:v>0.4444444444444444</x:v>
      </x:c>
      <x:c r="C29" s="82" t="n">
        <x:f>Winner_Odds!I56</x:f>
        <x:v>0.05263157894736842</x:v>
      </x:c>
    </x:row>
    <x:row r="30">
      <x:c r="A30" s="81" t="n">
        <x:v>20</x:v>
      </x:c>
      <x:c r="B30" s="40" t="n">
        <x:f>Winner_Odds!I21</x:f>
        <x:v>0.4878048780487805</x:v>
      </x:c>
      <x:c r="C30" s="82" t="n">
        <x:f>Winner_Odds!I57</x:f>
        <x:v>0.125</x:v>
      </x:c>
    </x:row>
    <x:row r="31">
      <x:c r="A31" s="81" t="n">
        <x:v>21</x:v>
      </x:c>
      <x:c r="B31" s="40" t="n">
        <x:f>Winner_Odds!I22</x:f>
        <x:v>0.18181818181818182</x:v>
      </x:c>
      <x:c r="C31" s="82"/>
    </x:row>
    <x:row r="32">
      <x:c r="A32" s="81" t="n">
        <x:v>22</x:v>
      </x:c>
      <x:c r="B32" s="40" t="n">
        <x:f>Winner_Odds!I23</x:f>
        <x:v>0.08333333333333333</x:v>
      </x:c>
      <x:c r="C32" s="82"/>
    </x:row>
    <x:row r="33">
      <x:c r="A33" s="81" t="n">
        <x:v>23</x:v>
      </x:c>
      <x:c r="B33" s="40" t="n">
        <x:f>Winner_Odds!I24</x:f>
        <x:v>0.14285714285714285</x:v>
      </x:c>
      <x:c r="C33" s="82"/>
    </x:row>
    <x:row r="34">
      <x:c r="A34" s="81" t="n">
        <x:v>24</x:v>
      </x:c>
      <x:c r="B34" s="40" t="n">
        <x:f>Winner_Odds!I25</x:f>
        <x:v>0.6</x:v>
      </x:c>
      <x:c r="C34" s="82"/>
    </x:row>
    <x:row r="35">
      <x:c r="A35" s="81" t="n">
        <x:v>25</x:v>
      </x:c>
      <x:c r="B35" s="40" t="n">
        <x:f>Winner_Odds!I26</x:f>
        <x:v>0.034482758620689655</x:v>
      </x:c>
      <x:c r="C35" s="82"/>
    </x:row>
    <x:row r="36">
      <x:c r="A36" s="81" t="n">
        <x:v>26</x:v>
      </x:c>
      <x:c r="B36" s="40" t="n">
        <x:f>Winner_Odds!I27</x:f>
        <x:v>0.08333333333333333</x:v>
      </x:c>
      <x:c r="C36" s="82"/>
    </x:row>
    <x:row r="37">
      <x:c r="A37" s="81" t="n">
        <x:v>27</x:v>
      </x:c>
      <x:c r="B37" s="40" t="n">
        <x:f>Winner_Odds!I28</x:f>
        <x:v>0.1111111111111111</x:v>
      </x:c>
      <x:c r="C37" s="82"/>
    </x:row>
    <x:row r="38">
      <x:c r="A38" s="81" t="n">
        <x:v>28</x:v>
      </x:c>
      <x:c r="B38" s="40" t="n">
        <x:f>Winner_Odds!I29</x:f>
        <x:v>0.16666666666666666</x:v>
      </x:c>
      <x:c r="C38" s="82"/>
    </x:row>
    <x:row r="39">
      <x:c r="A39" s="81" t="n">
        <x:v>29</x:v>
      </x:c>
      <x:c r="B39" s="40" t="n">
        <x:f>Winner_Odds!I30</x:f>
        <x:v>0.09090909090909091</x:v>
      </x:c>
      <x:c r="C39" s="82"/>
    </x:row>
    <x:row r="40">
      <x:c r="A40" s="81" t="n">
        <x:v>30</x:v>
      </x:c>
      <x:c r="B40" s="40" t="n">
        <x:f>Winner_Odds!I31</x:f>
        <x:v>0.23809523809523808</x:v>
      </x:c>
      <x:c r="C40" s="82"/>
    </x:row>
    <x:row r="41">
      <x:c r="A41" s="81" t="n">
        <x:v>31</x:v>
      </x:c>
      <x:c r="B41" s="40" t="n">
        <x:f>Winner_Odds!I32</x:f>
        <x:v>0.07692307692307693</x:v>
      </x:c>
      <x:c r="C41" s="82"/>
    </x:row>
    <x:row r="42">
      <x:c r="A42" s="81" t="n">
        <x:v>32</x:v>
      </x:c>
      <x:c r="B42" s="40" t="n">
        <x:f>Winner_Odds!I33</x:f>
        <x:v>0.5454545454545454</x:v>
      </x:c>
      <x:c r="C42" s="82"/>
    </x:row>
    <x:row r="43">
      <x:c r="A43" s="81" t="n">
        <x:v>33</x:v>
      </x:c>
      <x:c r="B43" s="40" t="n">
        <x:f>Winner_Odds!I34</x:f>
        <x:v>0.15384615384615385</x:v>
      </x:c>
      <x:c r="C43" s="82"/>
    </x:row>
    <x:row r="44">
      <x:c r="A44" s="81" t="n">
        <x:v>34</x:v>
      </x:c>
      <x:c r="B44" s="40" t="n">
        <x:f>Winner_Odds!I35</x:f>
        <x:v>0.05263157894736842</x:v>
      </x:c>
      <x:c r="C44" s="82"/>
    </x:row>
    <x:row r="45">
      <x:c r="A45" s="81" t="n">
        <x:v>35</x:v>
      </x:c>
      <x:c r="B45" s="40" t="n">
        <x:f>Winner_Odds!I36</x:f>
        <x:v>0.2597402597402597</x:v>
      </x:c>
      <x:c r="C45" s="82"/>
    </x:row>
    <x:row r="46">
      <x:c r="A46" s="83" t="n">
        <x:v>36</x:v>
      </x:c>
      <x:c r="B46" s="84" t="n">
        <x:f>Winner_Odds!I37</x:f>
        <x:v>0.17857142857142858</x:v>
      </x:c>
      <x:c r="C46" s="85"/>
    </x:row>
  </x:sheetData>
  <x:mergeCells>
    <x:mergeCell ref="A1:H2"/>
    <x:mergeCell ref="G4:H9"/>
    <x:mergeCell ref="G4:G10"/>
  </x:mergeCells>
  <x:pageMargins left="0.7" right="0.7" top="0.75" bottom="0.75" header="0.3" footer="0.3"/>
  <x:drawing xmlns:r="http://schemas.openxmlformats.org/officeDocument/2006/relationships" r:id="R1d5e1409ad174c38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12" hidden="0" customWidth="1"/>
    <x:col min="4" max="4" width="28" hidden="0" customWidth="1"/>
    <x:col min="5" max="5" width="28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2" hidden="0" customWidth="1"/>
    <x:col min="12" max="12" width="40" hidden="0" customWidth="1"/>
    <x:col min="13" max="13" width="26" hidden="0" customWidth="1"/>
    <x:col min="14" max="14" width="38" hidden="0" customWidth="1"/>
  </x:cols>
  <x:sheetData>
    <x:row r="1" ht="32" customHeight="1">
      <x:c r="A1" s="6" t="str">
        <x:v>Season</x:v>
      </x:c>
      <x:c r="B1" s="6" t="str">
        <x:v>Race #</x:v>
      </x:c>
      <x:c r="C1" s="6" t="str">
        <x:v>Race Date</x:v>
      </x:c>
      <x:c r="D1" s="6" t="str">
        <x:v>Race</x:v>
      </x:c>
      <x:c r="E1" s="6" t="str">
        <x:v>Track</x:v>
      </x:c>
      <x:c r="F1" s="6" t="str">
        <x:v>Actual Winner</x:v>
      </x:c>
      <x:c r="G1" s="6" t="str">
        <x:v>Winner Odds (American)</x:v>
      </x:c>
      <x:c r="H1" s="6" t="str">
        <x:v>Winner Odds (Decimal)</x:v>
      </x:c>
      <x:c r="I1" s="6" t="str">
        <x:v>Implied Probability</x:v>
      </x:c>
      <x:c r="J1" s="6" t="str">
        <x:v>Sportsbook</x:v>
      </x:c>
      <x:c r="K1" s="6" t="str">
        <x:v>Odds As Of</x:v>
      </x:c>
      <x:c r="L1" s="6" t="str">
        <x:v>Source URL</x:v>
      </x:c>
      <x:c r="M1" s="6" t="str">
        <x:v>Source Quality</x:v>
      </x:c>
      <x:c r="N1" s="6" t="str">
        <x:v>Notes</x:v>
      </x:c>
    </x:row>
    <x:row r="2">
      <x:c r="A2" s="12" t="n">
        <x:v>2025</x:v>
      </x:c>
      <x:c r="B2" s="12" t="n">
        <x:v>1</x:v>
      </x:c>
      <x:c r="C2" s="14" t="n">
        <x:v>45704</x:v>
      </x:c>
      <x:c r="D2" s="22" t="str">
        <x:v>Daytona 500</x:v>
      </x:c>
      <x:c r="E2" s="22" t="str">
        <x:v>Daytona International Speedway</x:v>
      </x:c>
      <x:c r="F2" s="22" t="str">
        <x:v>William Byron</x:v>
      </x:c>
      <x:c r="G2" s="16" t="n">
        <x:v>1400</x:v>
      </x:c>
      <x:c r="H2" s="18" t="n">
        <x:f>IF(G2&gt;0,1+G2/100,1+100/ABS(G2))</x:f>
        <x:v>15</x:v>
      </x:c>
      <x:c r="I2" s="20" t="n">
        <x:f>IF(G2&gt;0,100/(G2+100),ABS(G2)/(ABS(G2)+100))</x:f>
        <x:v>0.06666666666666667</x:v>
      </x:c>
      <x:c r="J2" s="12" t="str">
        <x:v>DraftKings</x:v>
      </x:c>
      <x:c r="K2" s="14" t="n">
        <x:v>45702</x:v>
      </x:c>
      <x:c r="L2" s="22" t="str">
        <x:v>https://www.foxsports.com/stories/nascar/2025-daytona-500-odds</x:v>
      </x:c>
      <x:c r="M2" s="22" t="str">
        <x:v>Near-race archived board</x:v>
      </x:c>
      <x:c r="N2" s="22" t="str">
        <x:v>Full-field outright board</x:v>
      </x:c>
    </x:row>
    <x:row r="3">
      <x:c r="A3" s="12" t="n">
        <x:v>2025</x:v>
      </x:c>
      <x:c r="B3" s="12" t="n">
        <x:v>2</x:v>
      </x:c>
      <x:c r="C3" s="14" t="n">
        <x:v>45711</x:v>
      </x:c>
      <x:c r="D3" s="22" t="str">
        <x:v>Ambetter Health 400</x:v>
      </x:c>
      <x:c r="E3" s="22" t="str">
        <x:v>Atlanta Motor Speedway</x:v>
      </x:c>
      <x:c r="F3" s="22" t="str">
        <x:v>Christopher Bell</x:v>
      </x:c>
      <x:c r="G3" s="16" t="n">
        <x:v>2500</x:v>
      </x:c>
      <x:c r="H3" s="18" t="n">
        <x:f>IF(G3&gt;0,1+G3/100,1+100/ABS(G3))</x:f>
        <x:v>26</x:v>
      </x:c>
      <x:c r="I3" s="20" t="n">
        <x:f>IF(G3&gt;0,100/(G3+100),ABS(G3)/(ABS(G3)+100))</x:f>
        <x:v>0.038461538461538464</x:v>
      </x:c>
      <x:c r="J3" s="12" t="str">
        <x:v>DraftKings</x:v>
      </x:c>
      <x:c r="K3" s="14" t="n">
        <x:v>45711</x:v>
      </x:c>
      <x:c r="L3" s="22" t="str">
        <x:v>https://www.foxsports.com/stories/nascar/2025-nascar-odds-ambetter-health-400</x:v>
      </x:c>
      <x:c r="M3" s="22" t="str">
        <x:v>Race-day archived board</x:v>
      </x:c>
      <x:c r="N3" s="22" t="str">
        <x:v>Full-field outright board</x:v>
      </x:c>
    </x:row>
    <x:row r="4">
      <x:c r="A4" s="12" t="n">
        <x:v>2025</x:v>
      </x:c>
      <x:c r="B4" s="12" t="n">
        <x:v>3</x:v>
      </x:c>
      <x:c r="C4" s="14" t="n">
        <x:v>45718</x:v>
      </x:c>
      <x:c r="D4" s="22" t="str">
        <x:v>EchoPark Automotive Grand Prix</x:v>
      </x:c>
      <x:c r="E4" s="22" t="str">
        <x:v>Circuit of the Americas</x:v>
      </x:c>
      <x:c r="F4" s="22" t="str">
        <x:v>Christopher Bell</x:v>
      </x:c>
      <x:c r="G4" s="16" t="n">
        <x:v>1500</x:v>
      </x:c>
      <x:c r="H4" s="18" t="n">
        <x:f>IF(G4&gt;0,1+G4/100,1+100/ABS(G4))</x:f>
        <x:v>16</x:v>
      </x:c>
      <x:c r="I4" s="20" t="n">
        <x:f>IF(G4&gt;0,100/(G4+100),ABS(G4)/(ABS(G4)+100))</x:f>
        <x:v>0.0625</x:v>
      </x:c>
      <x:c r="J4" s="12" t="str">
        <x:v>DraftKings</x:v>
      </x:c>
      <x:c r="K4" s="14" t="n">
        <x:v>45718</x:v>
      </x:c>
      <x:c r="L4" s="22" t="str">
        <x:v>https://www.foxsports.com/stories/nascar/2025-nascar-odds-cota</x:v>
      </x:c>
      <x:c r="M4" s="22" t="str">
        <x:v>Race-day archived board</x:v>
      </x:c>
      <x:c r="N4" s="22" t="str">
        <x:v>Full-field outright board</x:v>
      </x:c>
    </x:row>
    <x:row r="5">
      <x:c r="A5" s="12" t="n">
        <x:v>2025</x:v>
      </x:c>
      <x:c r="B5" s="12" t="n">
        <x:v>4</x:v>
      </x:c>
      <x:c r="C5" s="14" t="n">
        <x:v>45725</x:v>
      </x:c>
      <x:c r="D5" s="22" t="str">
        <x:v>Shriners Children's 500</x:v>
      </x:c>
      <x:c r="E5" s="22" t="str">
        <x:v>Phoenix Raceway</x:v>
      </x:c>
      <x:c r="F5" s="22" t="str">
        <x:v>Christopher Bell</x:v>
      </x:c>
      <x:c r="G5" s="16" t="n">
        <x:v>650</x:v>
      </x:c>
      <x:c r="H5" s="18" t="n">
        <x:f>IF(G5&gt;0,1+G5/100,1+100/ABS(G5))</x:f>
        <x:v>7.5</x:v>
      </x:c>
      <x:c r="I5" s="20" t="n">
        <x:f>IF(G5&gt;0,100/(G5+100),ABS(G5)/(ABS(G5)+100))</x:f>
        <x:v>0.13333333333333333</x:v>
      </x:c>
      <x:c r="J5" s="12" t="str">
        <x:v>DraftKings</x:v>
      </x:c>
      <x:c r="K5" s="14" t="n">
        <x:v>45725</x:v>
      </x:c>
      <x:c r="L5" s="22" t="str">
        <x:v>https://www.foxsports.com/stories/nascar/2025-phoenix-shriners-childrens-500-odds</x:v>
      </x:c>
      <x:c r="M5" s="22" t="str">
        <x:v>Race-day archived board</x:v>
      </x:c>
      <x:c r="N5" s="22" t="str">
        <x:v>Full-field outright board</x:v>
      </x:c>
    </x:row>
    <x:row r="6">
      <x:c r="A6" s="12" t="n">
        <x:v>2025</x:v>
      </x:c>
      <x:c r="B6" s="12" t="n">
        <x:v>5</x:v>
      </x:c>
      <x:c r="C6" s="14" t="n">
        <x:v>45732</x:v>
      </x:c>
      <x:c r="D6" s="22" t="str">
        <x:v>Pennzoil 400</x:v>
      </x:c>
      <x:c r="E6" s="22" t="str">
        <x:v>Las Vegas Motor Speedway</x:v>
      </x:c>
      <x:c r="F6" s="22" t="str">
        <x:v>Josh Berry</x:v>
      </x:c>
      <x:c r="G6" s="16" t="n">
        <x:v>4000</x:v>
      </x:c>
      <x:c r="H6" s="18" t="n">
        <x:f>IF(G6&gt;0,1+G6/100,1+100/ABS(G6))</x:f>
        <x:v>41</x:v>
      </x:c>
      <x:c r="I6" s="20" t="n">
        <x:f>IF(G6&gt;0,100/(G6+100),ABS(G6)/(ABS(G6)+100))</x:f>
        <x:v>0.024390243902439025</x:v>
      </x:c>
      <x:c r="J6" s="12" t="str">
        <x:v>DraftKings</x:v>
      </x:c>
      <x:c r="K6" s="14" t="n">
        <x:v>45732</x:v>
      </x:c>
      <x:c r="L6" s="22" t="str">
        <x:v>https://www.foxsports.com/stories/nascar/2025-pennzoil-400-odds</x:v>
      </x:c>
      <x:c r="M6" s="22" t="str">
        <x:v>Race-day archived board</x:v>
      </x:c>
      <x:c r="N6" s="22" t="str">
        <x:v>Full-field outright board</x:v>
      </x:c>
    </x:row>
    <x:row r="7">
      <x:c r="A7" s="12" t="n">
        <x:v>2025</x:v>
      </x:c>
      <x:c r="B7" s="12" t="n">
        <x:v>6</x:v>
      </x:c>
      <x:c r="C7" s="14" t="n">
        <x:v>45739</x:v>
      </x:c>
      <x:c r="D7" s="22" t="str">
        <x:v>Straight Talk Wireless 400</x:v>
      </x:c>
      <x:c r="E7" s="22" t="str">
        <x:v>Homestead-Miami Speedway</x:v>
      </x:c>
      <x:c r="F7" s="22" t="str">
        <x:v>Kyle Larson</x:v>
      </x:c>
      <x:c r="G7" s="16" t="n">
        <x:v>285</x:v>
      </x:c>
      <x:c r="H7" s="18" t="n">
        <x:f>IF(G7&gt;0,1+G7/100,1+100/ABS(G7))</x:f>
        <x:v>3.85</x:v>
      </x:c>
      <x:c r="I7" s="20" t="n">
        <x:f>IF(G7&gt;0,100/(G7+100),ABS(G7)/(ABS(G7)+100))</x:f>
        <x:v>0.2597402597402597</x:v>
      </x:c>
      <x:c r="J7" s="12" t="str">
        <x:v>DraftKings</x:v>
      </x:c>
      <x:c r="K7" s="14" t="n">
        <x:v>45739</x:v>
      </x:c>
      <x:c r="L7" s="22" t="str">
        <x:v>https://www.foxsports.com/stories/nascar/2025-homestead-miami-straight-talk-wireless-odds</x:v>
      </x:c>
      <x:c r="M7" s="22" t="str">
        <x:v>Race-day archived board</x:v>
      </x:c>
      <x:c r="N7" s="22" t="str">
        <x:v>Full-field outright board</x:v>
      </x:c>
    </x:row>
    <x:row r="8">
      <x:c r="A8" s="12" t="n">
        <x:v>2025</x:v>
      </x:c>
      <x:c r="B8" s="12" t="n">
        <x:v>7</x:v>
      </x:c>
      <x:c r="C8" s="14" t="n">
        <x:v>45746</x:v>
      </x:c>
      <x:c r="D8" s="22" t="str">
        <x:v>Cook Out 400</x:v>
      </x:c>
      <x:c r="E8" s="22" t="str">
        <x:v>Martinsville Speedway</x:v>
      </x:c>
      <x:c r="F8" s="22" t="str">
        <x:v>Denny Hamlin</x:v>
      </x:c>
      <x:c r="G8" s="16" t="n">
        <x:v>550</x:v>
      </x:c>
      <x:c r="H8" s="18" t="n">
        <x:f>IF(G8&gt;0,1+G8/100,1+100/ABS(G8))</x:f>
        <x:v>6.5</x:v>
      </x:c>
      <x:c r="I8" s="20" t="n">
        <x:f>IF(G8&gt;0,100/(G8+100),ABS(G8)/(ABS(G8)+100))</x:f>
        <x:v>0.15384615384615385</x:v>
      </x:c>
      <x:c r="J8" s="12" t="str">
        <x:v>DraftKings</x:v>
      </x:c>
      <x:c r="K8" s="14" t="n">
        <x:v>45746</x:v>
      </x:c>
      <x:c r="L8" s="22" t="str">
        <x:v>https://www.foxsports.com/stories/nascar/martinsville-spring-race-odds-cook-out-400</x:v>
      </x:c>
      <x:c r="M8" s="22" t="str">
        <x:v>Race-day archived board</x:v>
      </x:c>
      <x:c r="N8" s="22" t="str">
        <x:v>Full-field outright board</x:v>
      </x:c>
    </x:row>
    <x:row r="9">
      <x:c r="A9" s="12" t="n">
        <x:v>2025</x:v>
      </x:c>
      <x:c r="B9" s="12" t="n">
        <x:v>8</x:v>
      </x:c>
      <x:c r="C9" s="14" t="n">
        <x:v>45753</x:v>
      </x:c>
      <x:c r="D9" s="22" t="str">
        <x:v>Goodyear 400</x:v>
      </x:c>
      <x:c r="E9" s="22" t="str">
        <x:v>Darlington Raceway</x:v>
      </x:c>
      <x:c r="F9" s="22" t="str">
        <x:v>Denny Hamlin</x:v>
      </x:c>
      <x:c r="G9" s="16" t="n">
        <x:v>800</x:v>
      </x:c>
      <x:c r="H9" s="18" t="n">
        <x:f>IF(G9&gt;0,1+G9/100,1+100/ABS(G9))</x:f>
        <x:v>9</x:v>
      </x:c>
      <x:c r="I9" s="20" t="n">
        <x:f>IF(G9&gt;0,100/(G9+100),ABS(G9)/(ABS(G9)+100))</x:f>
        <x:v>0.1111111111111111</x:v>
      </x:c>
      <x:c r="J9" s="12" t="str">
        <x:v>DraftKings</x:v>
      </x:c>
      <x:c r="K9" s="14" t="n">
        <x:v>45753</x:v>
      </x:c>
      <x:c r="L9" s="22" t="str">
        <x:v>https://www.foxsports.com/stories/nascar/nascar-darlington-spring-race-odds-goodyear-400</x:v>
      </x:c>
      <x:c r="M9" s="22" t="str">
        <x:v>Race-day archived board</x:v>
      </x:c>
      <x:c r="N9" s="22" t="str">
        <x:v>Full-field outright board</x:v>
      </x:c>
    </x:row>
    <x:row r="10">
      <x:c r="A10" s="12" t="n">
        <x:v>2025</x:v>
      </x:c>
      <x:c r="B10" s="12" t="n">
        <x:v>9</x:v>
      </x:c>
      <x:c r="C10" s="14" t="n">
        <x:v>45760</x:v>
      </x:c>
      <x:c r="D10" s="22" t="str">
        <x:v>Food City 500</x:v>
      </x:c>
      <x:c r="E10" s="22" t="str">
        <x:v>Bristol Motor Speedway</x:v>
      </x:c>
      <x:c r="F10" s="22" t="str">
        <x:v>Kyle Larson</x:v>
      </x:c>
      <x:c r="G10" s="16" t="n">
        <x:v>285</x:v>
      </x:c>
      <x:c r="H10" s="18" t="n">
        <x:f>IF(G10&gt;0,1+G10/100,1+100/ABS(G10))</x:f>
        <x:v>3.85</x:v>
      </x:c>
      <x:c r="I10" s="20" t="n">
        <x:f>IF(G10&gt;0,100/(G10+100),ABS(G10)/(ABS(G10)+100))</x:f>
        <x:v>0.2597402597402597</x:v>
      </x:c>
      <x:c r="J10" s="12" t="str">
        <x:v>DraftKings</x:v>
      </x:c>
      <x:c r="K10" s="14" t="n">
        <x:v>45760</x:v>
      </x:c>
      <x:c r="L10" s="22" t="str">
        <x:v>https://www.foxsports.com/stories/nascar/bristol-spring-race-odds-food-city-500</x:v>
      </x:c>
      <x:c r="M10" s="22" t="str">
        <x:v>Race-day archived board</x:v>
      </x:c>
      <x:c r="N10" s="22" t="str">
        <x:v>Full-field outright board</x:v>
      </x:c>
    </x:row>
    <x:row r="11">
      <x:c r="A11" s="12" t="n">
        <x:v>2025</x:v>
      </x:c>
      <x:c r="B11" s="12" t="n">
        <x:v>10</x:v>
      </x:c>
      <x:c r="C11" s="14" t="n">
        <x:v>45774</x:v>
      </x:c>
      <x:c r="D11" s="22" t="str">
        <x:v>Jack Link's 500</x:v>
      </x:c>
      <x:c r="E11" s="22" t="str">
        <x:v>Talladega Superspeedway</x:v>
      </x:c>
      <x:c r="F11" s="22" t="str">
        <x:v>Austin Cindric</x:v>
      </x:c>
      <x:c r="G11" s="16" t="n">
        <x:v>1200</x:v>
      </x:c>
      <x:c r="H11" s="18" t="n">
        <x:f>IF(G11&gt;0,1+G11/100,1+100/ABS(G11))</x:f>
        <x:v>13</x:v>
      </x:c>
      <x:c r="I11" s="20" t="n">
        <x:f>IF(G11&gt;0,100/(G11+100),ABS(G11)/(ABS(G11)+100))</x:f>
        <x:v>0.07692307692307693</x:v>
      </x:c>
      <x:c r="J11" s="12" t="str">
        <x:v>DraftKings</x:v>
      </x:c>
      <x:c r="K11" s="14" t="n">
        <x:v>45774</x:v>
      </x:c>
      <x:c r="L11" s="22" t="str">
        <x:v>https://www.foxsports.com/stories/nascar/talladega-jack-links-500-odds</x:v>
      </x:c>
      <x:c r="M11" s="22" t="str">
        <x:v>Race-day archived board</x:v>
      </x:c>
      <x:c r="N11" s="22" t="str">
        <x:v>Full-field outright board</x:v>
      </x:c>
    </x:row>
    <x:row r="12">
      <x:c r="A12" s="12" t="n">
        <x:v>2025</x:v>
      </x:c>
      <x:c r="B12" s="12" t="n">
        <x:v>11</x:v>
      </x:c>
      <x:c r="C12" s="14" t="n">
        <x:v>45781</x:v>
      </x:c>
      <x:c r="D12" s="22" t="str">
        <x:v>Würth 400</x:v>
      </x:c>
      <x:c r="E12" s="22" t="str">
        <x:v>Texas Motor Speedway</x:v>
      </x:c>
      <x:c r="F12" s="22" t="str">
        <x:v>Joey Logano</x:v>
      </x:c>
      <x:c r="G12" s="16" t="n">
        <x:v>2000</x:v>
      </x:c>
      <x:c r="H12" s="18" t="n">
        <x:f>IF(G12&gt;0,1+G12/100,1+100/ABS(G12))</x:f>
        <x:v>21</x:v>
      </x:c>
      <x:c r="I12" s="20" t="n">
        <x:f>IF(G12&gt;0,100/(G12+100),ABS(G12)/(ABS(G12)+100))</x:f>
        <x:v>0.047619047619047616</x:v>
      </x:c>
      <x:c r="J12" s="12" t="str">
        <x:v>DraftKings</x:v>
      </x:c>
      <x:c r="K12" s="14" t="n">
        <x:v>45781</x:v>
      </x:c>
      <x:c r="L12" s="22" t="str">
        <x:v>https://www.foxsports.com/stories/nascar/texas-motor-speedway-wurth-400-2025</x:v>
      </x:c>
      <x:c r="M12" s="22" t="str">
        <x:v>Race-day archived board</x:v>
      </x:c>
      <x:c r="N12" s="22" t="str">
        <x:v>Full-field outright board</x:v>
      </x:c>
    </x:row>
    <x:row r="13">
      <x:c r="A13" s="12" t="n">
        <x:v>2025</x:v>
      </x:c>
      <x:c r="B13" s="12" t="n">
        <x:v>12</x:v>
      </x:c>
      <x:c r="C13" s="14" t="n">
        <x:v>45788</x:v>
      </x:c>
      <x:c r="D13" s="22" t="str">
        <x:v>AdventHealth 400</x:v>
      </x:c>
      <x:c r="E13" s="22" t="str">
        <x:v>Kansas Speedway</x:v>
      </x:c>
      <x:c r="F13" s="22" t="str">
        <x:v>Kyle Larson</x:v>
      </x:c>
      <x:c r="G13" s="16" t="n">
        <x:v>250</x:v>
      </x:c>
      <x:c r="H13" s="18" t="n">
        <x:f>IF(G13&gt;0,1+G13/100,1+100/ABS(G13))</x:f>
        <x:v>3.5</x:v>
      </x:c>
      <x:c r="I13" s="20" t="n">
        <x:f>IF(G13&gt;0,100/(G13+100),ABS(G13)/(ABS(G13)+100))</x:f>
        <x:v>0.2857142857142857</x:v>
      </x:c>
      <x:c r="J13" s="12" t="str">
        <x:v>DraftKings</x:v>
      </x:c>
      <x:c r="K13" s="14" t="n">
        <x:v>45788</x:v>
      </x:c>
      <x:c r="L13" s="22" t="str">
        <x:v>https://www.foxsports.com/stories/nascar/kansas-adventhealth-400-odds-2025</x:v>
      </x:c>
      <x:c r="M13" s="22" t="str">
        <x:v>Race-day archived board</x:v>
      </x:c>
      <x:c r="N13" s="22" t="str">
        <x:v>Full-field outright board</x:v>
      </x:c>
    </x:row>
    <x:row r="14">
      <x:c r="A14" s="12" t="n">
        <x:v>2025</x:v>
      </x:c>
      <x:c r="B14" s="12" t="n">
        <x:v>13</x:v>
      </x:c>
      <x:c r="C14" s="14" t="n">
        <x:v>45802</x:v>
      </x:c>
      <x:c r="D14" s="22" t="str">
        <x:v>Coca-Cola 600</x:v>
      </x:c>
      <x:c r="E14" s="22" t="str">
        <x:v>Charlotte Motor Speedway</x:v>
      </x:c>
      <x:c r="F14" s="22" t="str">
        <x:v>Ross Chastain</x:v>
      </x:c>
      <x:c r="G14" s="16" t="n">
        <x:v>1800</x:v>
      </x:c>
      <x:c r="H14" s="18" t="n">
        <x:f>IF(G14&gt;0,1+G14/100,1+100/ABS(G14))</x:f>
        <x:v>19</x:v>
      </x:c>
      <x:c r="I14" s="20" t="n">
        <x:f>IF(G14&gt;0,100/(G14+100),ABS(G14)/(ABS(G14)+100))</x:f>
        <x:v>0.05263157894736842</x:v>
      </x:c>
      <x:c r="J14" s="12" t="str">
        <x:v>DraftKings</x:v>
      </x:c>
      <x:c r="K14" s="14" t="n">
        <x:v>45802</x:v>
      </x:c>
      <x:c r="L14" s="22" t="str">
        <x:v>https://www.foxsports.com/stories/nascar/2026-nascar-odds-coke-600</x:v>
      </x:c>
      <x:c r="M14" s="22" t="str">
        <x:v>Retrospective closing quote</x:v>
      </x:c>
      <x:c r="N14" s="22" t="str">
        <x:v>2026 FOX article explicitly states 2025 close</x:v>
      </x:c>
    </x:row>
    <x:row r="15">
      <x:c r="A15" s="12" t="n">
        <x:v>2025</x:v>
      </x:c>
      <x:c r="B15" s="12" t="n">
        <x:v>14</x:v>
      </x:c>
      <x:c r="C15" s="14" t="n">
        <x:v>45809</x:v>
      </x:c>
      <x:c r="D15" s="22" t="str">
        <x:v>Cracker Barrel 400</x:v>
      </x:c>
      <x:c r="E15" s="22" t="str">
        <x:v>Nashville Superspeedway</x:v>
      </x:c>
      <x:c r="F15" s="22" t="str">
        <x:v>Ryan Blaney</x:v>
      </x:c>
      <x:c r="G15" s="16" t="n">
        <x:v>800</x:v>
      </x:c>
      <x:c r="H15" s="18" t="n">
        <x:f>IF(G15&gt;0,1+G15/100,1+100/ABS(G15))</x:f>
        <x:v>9</x:v>
      </x:c>
      <x:c r="I15" s="20" t="n">
        <x:f>IF(G15&gt;0,100/(G15+100),ABS(G15)/(ABS(G15)+100))</x:f>
        <x:v>0.1111111111111111</x:v>
      </x:c>
      <x:c r="J15" s="12" t="str">
        <x:v>DraftKings</x:v>
      </x:c>
      <x:c r="K15" s="14" t="n">
        <x:v>45809</x:v>
      </x:c>
      <x:c r="L15" s="22" t="str">
        <x:v>https://www.foxsports.com/stories/nascar/2025-nascar-odds-cracker-barrel-400-nashville</x:v>
      </x:c>
      <x:c r="M15" s="22" t="str">
        <x:v>Race-day archived board</x:v>
      </x:c>
      <x:c r="N15" s="22" t="str">
        <x:v>Full-field outright board</x:v>
      </x:c>
    </x:row>
    <x:row r="16">
      <x:c r="A16" s="12" t="n">
        <x:v>2025</x:v>
      </x:c>
      <x:c r="B16" s="12" t="n">
        <x:v>15</x:v>
      </x:c>
      <x:c r="C16" s="14" t="n">
        <x:v>45816</x:v>
      </x:c>
      <x:c r="D16" s="22" t="str">
        <x:v>FireKeepers Casino 400</x:v>
      </x:c>
      <x:c r="E16" s="22" t="str">
        <x:v>Michigan International Speedway</x:v>
      </x:c>
      <x:c r="F16" s="22" t="str">
        <x:v>Denny Hamlin</x:v>
      </x:c>
      <x:c r="G16" s="16" t="n">
        <x:v>550</x:v>
      </x:c>
      <x:c r="H16" s="18" t="n">
        <x:f>IF(G16&gt;0,1+G16/100,1+100/ABS(G16))</x:f>
        <x:v>6.5</x:v>
      </x:c>
      <x:c r="I16" s="20" t="n">
        <x:f>IF(G16&gt;0,100/(G16+100),ABS(G16)/(ABS(G16)+100))</x:f>
        <x:v>0.15384615384615385</x:v>
      </x:c>
      <x:c r="J16" s="12" t="str">
        <x:v>DraftKings</x:v>
      </x:c>
      <x:c r="K16" s="14" t="n">
        <x:v>45816</x:v>
      </x:c>
      <x:c r="L16" s="22" t="str">
        <x:v>https://www.foxsports.com/stories/nascar/2025-nascar-odds-michigan-firekeepers-casino-400</x:v>
      </x:c>
      <x:c r="M16" s="22" t="str">
        <x:v>Race-day archived board</x:v>
      </x:c>
      <x:c r="N16" s="22" t="str">
        <x:v>Full-field outright board</x:v>
      </x:c>
    </x:row>
    <x:row r="17">
      <x:c r="A17" s="12" t="n">
        <x:v>2025</x:v>
      </x:c>
      <x:c r="B17" s="12" t="n">
        <x:v>16</x:v>
      </x:c>
      <x:c r="C17" s="14" t="n">
        <x:v>45823</x:v>
      </x:c>
      <x:c r="D17" s="22" t="str">
        <x:v>Viva México 250</x:v>
      </x:c>
      <x:c r="E17" s="22" t="str">
        <x:v>Autódromo Hermanos Rodríguez</x:v>
      </x:c>
      <x:c r="F17" s="22" t="str">
        <x:v>Shane van Gisbergen</x:v>
      </x:c>
      <x:c r="G17" s="16" t="n">
        <x:v>200</x:v>
      </x:c>
      <x:c r="H17" s="18" t="n">
        <x:f>IF(G17&gt;0,1+G17/100,1+100/ABS(G17))</x:f>
        <x:v>3</x:v>
      </x:c>
      <x:c r="I17" s="20" t="n">
        <x:f>IF(G17&gt;0,100/(G17+100),ABS(G17)/(ABS(G17)+100))</x:f>
        <x:v>0.3333333333333333</x:v>
      </x:c>
      <x:c r="J17" s="12" t="str">
        <x:v>DraftKings</x:v>
      </x:c>
      <x:c r="K17" s="14" t="n">
        <x:v>45823</x:v>
      </x:c>
      <x:c r="L17" s="22" t="str">
        <x:v>https://www.foxsports.com/stories/nascar/2025-nascar-odds-shane-van-gisbergen-favorite-mexico</x:v>
      </x:c>
      <x:c r="M17" s="22" t="str">
        <x:v>Race-day archived board</x:v>
      </x:c>
      <x:c r="N17" s="22" t="str">
        <x:v>Full-field outright board</x:v>
      </x:c>
    </x:row>
    <x:row r="18">
      <x:c r="A18" s="12" t="n">
        <x:v>2025</x:v>
      </x:c>
      <x:c r="B18" s="12" t="n">
        <x:v>17</x:v>
      </x:c>
      <x:c r="C18" s="14" t="n">
        <x:v>45830</x:v>
      </x:c>
      <x:c r="D18" s="22" t="str">
        <x:v>The Great American Getaway 400</x:v>
      </x:c>
      <x:c r="E18" s="22" t="str">
        <x:v>Pocono Raceway</x:v>
      </x:c>
      <x:c r="F18" s="22" t="str">
        <x:v>Chase Briscoe</x:v>
      </x:c>
      <x:c r="G18" s="16" t="n">
        <x:v>2200</x:v>
      </x:c>
      <x:c r="H18" s="18" t="n">
        <x:f>IF(G18&gt;0,1+G18/100,1+100/ABS(G18))</x:f>
        <x:v>23</x:v>
      </x:c>
      <x:c r="I18" s="20" t="n">
        <x:f>IF(G18&gt;0,100/(G18+100),ABS(G18)/(ABS(G18)+100))</x:f>
        <x:v>0.043478260869565216</x:v>
      </x:c>
      <x:c r="J18" s="12" t="str">
        <x:v>DraftKings</x:v>
      </x:c>
      <x:c r="K18" s="14" t="n">
        <x:v>45830</x:v>
      </x:c>
      <x:c r="L18" s="22" t="str">
        <x:v>https://www.foxsports.com/stories/nascar/pocono-odds-2025</x:v>
      </x:c>
      <x:c r="M18" s="22" t="str">
        <x:v>Race-day archived board</x:v>
      </x:c>
      <x:c r="N18" s="22" t="str">
        <x:v>FOX line; another archive showed +2500</x:v>
      </x:c>
    </x:row>
    <x:row r="19">
      <x:c r="A19" s="12" t="n">
        <x:v>2025</x:v>
      </x:c>
      <x:c r="B19" s="12" t="n">
        <x:v>18</x:v>
      </x:c>
      <x:c r="C19" s="14" t="n">
        <x:v>45836</x:v>
      </x:c>
      <x:c r="D19" s="22" t="str">
        <x:v>Quaker State 400</x:v>
      </x:c>
      <x:c r="E19" s="22" t="str">
        <x:v>Atlanta Motor Speedway</x:v>
      </x:c>
      <x:c r="F19" s="22" t="str">
        <x:v>Chase Elliott</x:v>
      </x:c>
      <x:c r="G19" s="16" t="n">
        <x:v>1400</x:v>
      </x:c>
      <x:c r="H19" s="18" t="n">
        <x:f>IF(G19&gt;0,1+G19/100,1+100/ABS(G19))</x:f>
        <x:v>15</x:v>
      </x:c>
      <x:c r="I19" s="20" t="n">
        <x:f>IF(G19&gt;0,100/(G19+100),ABS(G19)/(ABS(G19)+100))</x:f>
        <x:v>0.06666666666666667</x:v>
      </x:c>
      <x:c r="J19" s="12" t="str">
        <x:v>DraftKings</x:v>
      </x:c>
      <x:c r="K19" s="14" t="n">
        <x:v>45836</x:v>
      </x:c>
      <x:c r="L19" s="22" t="str">
        <x:v>https://www.foxsports.com/stories/nascar/nascar-odds-atlanta-quaker-state-400</x:v>
      </x:c>
      <x:c r="M19" s="22" t="str">
        <x:v>Race-day archived board</x:v>
      </x:c>
      <x:c r="N19" s="22" t="str">
        <x:v>Full-field outright board</x:v>
      </x:c>
    </x:row>
    <x:row r="20">
      <x:c r="A20" s="12" t="n">
        <x:v>2025</x:v>
      </x:c>
      <x:c r="B20" s="12" t="n">
        <x:v>19</x:v>
      </x:c>
      <x:c r="C20" s="14" t="n">
        <x:v>45844</x:v>
      </x:c>
      <x:c r="D20" s="22" t="str">
        <x:v>Grant Park 165</x:v>
      </x:c>
      <x:c r="E20" s="22" t="str">
        <x:v>Chicago Street Course</x:v>
      </x:c>
      <x:c r="F20" s="22" t="str">
        <x:v>Shane van Gisbergen</x:v>
      </x:c>
      <x:c r="G20" s="16" t="n">
        <x:v>125</x:v>
      </x:c>
      <x:c r="H20" s="18" t="n">
        <x:f>IF(G20&gt;0,1+G20/100,1+100/ABS(G20))</x:f>
        <x:v>2.25</x:v>
      </x:c>
      <x:c r="I20" s="20" t="n">
        <x:f>IF(G20&gt;0,100/(G20+100),ABS(G20)/(ABS(G20)+100))</x:f>
        <x:v>0.4444444444444444</x:v>
      </x:c>
      <x:c r="J20" s="12" t="str">
        <x:v>DraftKings</x:v>
      </x:c>
      <x:c r="K20" s="14" t="n">
        <x:v>45844</x:v>
      </x:c>
      <x:c r="L20" s="22" t="str">
        <x:v>https://www.foxsports.com/stories/nascar/2025-chicago-grant-park-165-odds</x:v>
      </x:c>
      <x:c r="M20" s="22" t="str">
        <x:v>Race-day archived board</x:v>
      </x:c>
      <x:c r="N20" s="22" t="str">
        <x:v>Full-field outright board</x:v>
      </x:c>
    </x:row>
    <x:row r="21">
      <x:c r="A21" s="12" t="n">
        <x:v>2025</x:v>
      </x:c>
      <x:c r="B21" s="12" t="n">
        <x:v>20</x:v>
      </x:c>
      <x:c r="C21" s="14" t="n">
        <x:v>45851</x:v>
      </x:c>
      <x:c r="D21" s="22" t="str">
        <x:v>Toyota/Save Mart 350</x:v>
      </x:c>
      <x:c r="E21" s="22" t="str">
        <x:v>Sonoma Raceway</x:v>
      </x:c>
      <x:c r="F21" s="22" t="str">
        <x:v>Shane van Gisbergen</x:v>
      </x:c>
      <x:c r="G21" s="16" t="n">
        <x:v>105</x:v>
      </x:c>
      <x:c r="H21" s="18" t="n">
        <x:f>IF(G21&gt;0,1+G21/100,1+100/ABS(G21))</x:f>
        <x:v>2.05</x:v>
      </x:c>
      <x:c r="I21" s="20" t="n">
        <x:f>IF(G21&gt;0,100/(G21+100),ABS(G21)/(ABS(G21)+100))</x:f>
        <x:v>0.4878048780487805</x:v>
      </x:c>
      <x:c r="J21" s="12" t="str">
        <x:v>DraftKings</x:v>
      </x:c>
      <x:c r="K21" s="14" t="n">
        <x:v>45851</x:v>
      </x:c>
      <x:c r="L21" s="22" t="str">
        <x:v>https://www.foxsports.com/stories/nascar/2025-nascar-odds-sonoma</x:v>
      </x:c>
      <x:c r="M21" s="22" t="str">
        <x:v>Race-day archived board</x:v>
      </x:c>
      <x:c r="N21" s="22" t="str">
        <x:v>Full-field outright board</x:v>
      </x:c>
    </x:row>
    <x:row r="22">
      <x:c r="A22" s="12" t="n">
        <x:v>2025</x:v>
      </x:c>
      <x:c r="B22" s="12" t="n">
        <x:v>21</x:v>
      </x:c>
      <x:c r="C22" s="14" t="n">
        <x:v>45858</x:v>
      </x:c>
      <x:c r="D22" s="22" t="str">
        <x:v>Autotrader EchoPark Automotive 400</x:v>
      </x:c>
      <x:c r="E22" s="22" t="str">
        <x:v>Dover Motor Speedway</x:v>
      </x:c>
      <x:c r="F22" s="22" t="str">
        <x:v>Denny Hamlin</x:v>
      </x:c>
      <x:c r="G22" s="16" t="n">
        <x:v>450</x:v>
      </x:c>
      <x:c r="H22" s="18" t="n">
        <x:f>IF(G22&gt;0,1+G22/100,1+100/ABS(G22))</x:f>
        <x:v>5.5</x:v>
      </x:c>
      <x:c r="I22" s="20" t="n">
        <x:f>IF(G22&gt;0,100/(G22+100),ABS(G22)/(ABS(G22)+100))</x:f>
        <x:v>0.18181818181818182</x:v>
      </x:c>
      <x:c r="J22" s="12" t="str">
        <x:v>DraftKings</x:v>
      </x:c>
      <x:c r="K22" s="14" t="n">
        <x:v>45858</x:v>
      </x:c>
      <x:c r="L22" s="22" t="str">
        <x:v>https://www.foxsports.com/stories/nascar/2025-nascar-odds-dover</x:v>
      </x:c>
      <x:c r="M22" s="22" t="str">
        <x:v>Race-day archived board</x:v>
      </x:c>
      <x:c r="N22" s="22" t="str">
        <x:v>Full-field outright board</x:v>
      </x:c>
    </x:row>
    <x:row r="23">
      <x:c r="A23" s="12" t="n">
        <x:v>2025</x:v>
      </x:c>
      <x:c r="B23" s="12" t="n">
        <x:v>22</x:v>
      </x:c>
      <x:c r="C23" s="14" t="n">
        <x:v>45865</x:v>
      </x:c>
      <x:c r="D23" s="22" t="str">
        <x:v>Brickyard 400</x:v>
      </x:c>
      <x:c r="E23" s="22" t="str">
        <x:v>Indianapolis Motor Speedway</x:v>
      </x:c>
      <x:c r="F23" s="22" t="str">
        <x:v>Bubba Wallace</x:v>
      </x:c>
      <x:c r="G23" s="16" t="n">
        <x:v>1100</x:v>
      </x:c>
      <x:c r="H23" s="18" t="n">
        <x:f>IF(G23&gt;0,1+G23/100,1+100/ABS(G23))</x:f>
        <x:v>12</x:v>
      </x:c>
      <x:c r="I23" s="20" t="n">
        <x:f>IF(G23&gt;0,100/(G23+100),ABS(G23)/(ABS(G23)+100))</x:f>
        <x:v>0.08333333333333333</x:v>
      </x:c>
      <x:c r="J23" s="12" t="str">
        <x:v>DraftKings</x:v>
      </x:c>
      <x:c r="K23" s="14" t="n">
        <x:v>45865</x:v>
      </x:c>
      <x:c r="L23" s="22" t="str">
        <x:v>https://www.foxsports.com/stories/nascar/2025-nascar-odds-brickyard-400</x:v>
      </x:c>
      <x:c r="M23" s="22" t="str">
        <x:v>Race-day archived board</x:v>
      </x:c>
      <x:c r="N23" s="22" t="str">
        <x:v>Full-field outright board</x:v>
      </x:c>
    </x:row>
    <x:row r="24">
      <x:c r="A24" s="12" t="n">
        <x:v>2025</x:v>
      </x:c>
      <x:c r="B24" s="12" t="n">
        <x:v>23</x:v>
      </x:c>
      <x:c r="C24" s="14" t="n">
        <x:v>45872</x:v>
      </x:c>
      <x:c r="D24" s="22" t="str">
        <x:v>Iowa Corn 350</x:v>
      </x:c>
      <x:c r="E24" s="22" t="str">
        <x:v>Iowa Speedway</x:v>
      </x:c>
      <x:c r="F24" s="22" t="str">
        <x:v>William Byron</x:v>
      </x:c>
      <x:c r="G24" s="16" t="n">
        <x:v>600</x:v>
      </x:c>
      <x:c r="H24" s="18" t="n">
        <x:f>IF(G24&gt;0,1+G24/100,1+100/ABS(G24))</x:f>
        <x:v>7</x:v>
      </x:c>
      <x:c r="I24" s="20" t="n">
        <x:f>IF(G24&gt;0,100/(G24+100),ABS(G24)/(ABS(G24)+100))</x:f>
        <x:v>0.14285714285714285</x:v>
      </x:c>
      <x:c r="J24" s="12" t="str">
        <x:v>DraftKings</x:v>
      </x:c>
      <x:c r="K24" s="14" t="n">
        <x:v>45872</x:v>
      </x:c>
      <x:c r="L24" s="22" t="str">
        <x:v>https://www.foxsports.com/stories/nascar/2025-nascar-odds-iowa-corn-350</x:v>
      </x:c>
      <x:c r="M24" s="22" t="str">
        <x:v>Race-day archived board</x:v>
      </x:c>
      <x:c r="N24" s="22" t="str">
        <x:v>Full-field outright board</x:v>
      </x:c>
    </x:row>
    <x:row r="25">
      <x:c r="A25" s="12" t="n">
        <x:v>2025</x:v>
      </x:c>
      <x:c r="B25" s="12" t="n">
        <x:v>24</x:v>
      </x:c>
      <x:c r="C25" s="14" t="n">
        <x:v>45879</x:v>
      </x:c>
      <x:c r="D25" s="22" t="str">
        <x:v>Go Bowling at The Glen</x:v>
      </x:c>
      <x:c r="E25" s="22" t="str">
        <x:v>Watkins Glen International</x:v>
      </x:c>
      <x:c r="F25" s="22" t="str">
        <x:v>Shane van Gisbergen</x:v>
      </x:c>
      <x:c r="G25" s="16" t="n">
        <x:v>-150</x:v>
      </x:c>
      <x:c r="H25" s="18" t="n">
        <x:f>IF(G25&gt;0,1+G25/100,1+100/ABS(G25))</x:f>
        <x:v>1.6666666666666665</x:v>
      </x:c>
      <x:c r="I25" s="20" t="n">
        <x:f>IF(G25&gt;0,100/(G25+100),ABS(G25)/(ABS(G25)+100))</x:f>
        <x:v>0.6</x:v>
      </x:c>
      <x:c r="J25" s="12" t="str">
        <x:v>DraftKings</x:v>
      </x:c>
      <x:c r="K25" s="14" t="n">
        <x:v>45879</x:v>
      </x:c>
      <x:c r="L25" s="22" t="str">
        <x:v>https://www.foxsports.com/stories/nascar/2025-nascar-odds-watkins-glen</x:v>
      </x:c>
      <x:c r="M25" s="22" t="str">
        <x:v>Race-day archived board</x:v>
      </x:c>
      <x:c r="N25" s="22" t="str">
        <x:v>Full-field outright board</x:v>
      </x:c>
    </x:row>
    <x:row r="26">
      <x:c r="A26" s="12" t="n">
        <x:v>2025</x:v>
      </x:c>
      <x:c r="B26" s="12" t="n">
        <x:v>25</x:v>
      </x:c>
      <x:c r="C26" s="14" t="n">
        <x:v>45885</x:v>
      </x:c>
      <x:c r="D26" s="22" t="str">
        <x:v>Cook Out 400</x:v>
      </x:c>
      <x:c r="E26" s="22" t="str">
        <x:v>Richmond Raceway</x:v>
      </x:c>
      <x:c r="F26" s="22" t="str">
        <x:v>Austin Dillon</x:v>
      </x:c>
      <x:c r="G26" s="16" t="n">
        <x:v>2800</x:v>
      </x:c>
      <x:c r="H26" s="18" t="n">
        <x:f>IF(G26&gt;0,1+G26/100,1+100/ABS(G26))</x:f>
        <x:v>29</x:v>
      </x:c>
      <x:c r="I26" s="20" t="n">
        <x:f>IF(G26&gt;0,100/(G26+100),ABS(G26)/(ABS(G26)+100))</x:f>
        <x:v>0.034482758620689655</x:v>
      </x:c>
      <x:c r="J26" s="12" t="str">
        <x:v>DraftKings</x:v>
      </x:c>
      <x:c r="K26" s="14" t="n">
        <x:v>45882</x:v>
      </x:c>
      <x:c r="L26" s="22" t="str">
        <x:v>https://www.foxsports.com/stories/nascar/2025-nascar-odds-richmond-cook-out-400</x:v>
      </x:c>
      <x:c r="M26" s="22" t="str">
        <x:v>Near-race archived board</x:v>
      </x:c>
      <x:c r="N26" s="22" t="str">
        <x:v>Three days before race</x:v>
      </x:c>
    </x:row>
    <x:row r="27">
      <x:c r="A27" s="12" t="n">
        <x:v>2025</x:v>
      </x:c>
      <x:c r="B27" s="12" t="n">
        <x:v>26</x:v>
      </x:c>
      <x:c r="C27" s="14" t="n">
        <x:v>45892</x:v>
      </x:c>
      <x:c r="D27" s="22" t="str">
        <x:v>Coke Zero Sugar 400</x:v>
      </x:c>
      <x:c r="E27" s="22" t="str">
        <x:v>Daytona International Speedway</x:v>
      </x:c>
      <x:c r="F27" s="22" t="str">
        <x:v>Ryan Blaney</x:v>
      </x:c>
      <x:c r="G27" s="16" t="n">
        <x:v>1100</x:v>
      </x:c>
      <x:c r="H27" s="18" t="n">
        <x:f>IF(G27&gt;0,1+G27/100,1+100/ABS(G27))</x:f>
        <x:v>12</x:v>
      </x:c>
      <x:c r="I27" s="20" t="n">
        <x:f>IF(G27&gt;0,100/(G27+100),ABS(G27)/(ABS(G27)+100))</x:f>
        <x:v>0.08333333333333333</x:v>
      </x:c>
      <x:c r="J27" s="12" t="str">
        <x:v>DraftKings</x:v>
      </x:c>
      <x:c r="K27" s="14" t="n">
        <x:v>45889</x:v>
      </x:c>
      <x:c r="L27" s="22" t="str">
        <x:v>https://www.foxsports.com/stories/nascar/2025-nascar-odds-daytona-coke-zero-sugar-400</x:v>
      </x:c>
      <x:c r="M27" s="22" t="str">
        <x:v>Near-race board; cross-source matched</x:v>
      </x:c>
      <x:c r="N27" s="22" t="str">
        <x:v>FOX three days prior; race-day CBS matched +1100</x:v>
      </x:c>
    </x:row>
    <x:row r="28">
      <x:c r="A28" s="12" t="n">
        <x:v>2025</x:v>
      </x:c>
      <x:c r="B28" s="12" t="n">
        <x:v>27</x:v>
      </x:c>
      <x:c r="C28" s="14" t="n">
        <x:v>45900</x:v>
      </x:c>
      <x:c r="D28" s="22" t="str">
        <x:v>Cook Out Southern 500</x:v>
      </x:c>
      <x:c r="E28" s="22" t="str">
        <x:v>Darlington Raceway</x:v>
      </x:c>
      <x:c r="F28" s="22" t="str">
        <x:v>Chase Briscoe</x:v>
      </x:c>
      <x:c r="G28" s="16" t="n">
        <x:v>800</x:v>
      </x:c>
      <x:c r="H28" s="18" t="n">
        <x:f>IF(G28&gt;0,1+G28/100,1+100/ABS(G28))</x:f>
        <x:v>9</x:v>
      </x:c>
      <x:c r="I28" s="20" t="n">
        <x:f>IF(G28&gt;0,100/(G28+100),ABS(G28)/(ABS(G28)+100))</x:f>
        <x:v>0.1111111111111111</x:v>
      </x:c>
      <x:c r="J28" s="12" t="str">
        <x:v>DraftKings</x:v>
      </x:c>
      <x:c r="K28" s="14" t="n">
        <x:v>45900</x:v>
      </x:c>
      <x:c r="L28" s="22" t="str">
        <x:v>https://www.covers.com/nascar/southern-500-odds-picks-predictions-darlington-raceway-august-31-2025</x:v>
      </x:c>
      <x:c r="M28" s="22" t="str">
        <x:v>Race-day archived board</x:v>
      </x:c>
      <x:c r="N28" s="22" t="str">
        <x:v>Covers/DraftKings</x:v>
      </x:c>
    </x:row>
    <x:row r="29">
      <x:c r="A29" s="12" t="n">
        <x:v>2025</x:v>
      </x:c>
      <x:c r="B29" s="12" t="n">
        <x:v>28</x:v>
      </x:c>
      <x:c r="C29" s="14" t="n">
        <x:v>45907</x:v>
      </x:c>
      <x:c r="D29" s="22" t="str">
        <x:v>Enjoy Illinois 300</x:v>
      </x:c>
      <x:c r="E29" s="22" t="str">
        <x:v>World Wide Technology Raceway</x:v>
      </x:c>
      <x:c r="F29" s="22" t="str">
        <x:v>Denny Hamlin</x:v>
      </x:c>
      <x:c r="G29" s="16" t="n">
        <x:v>500</x:v>
      </x:c>
      <x:c r="H29" s="18" t="n">
        <x:f>IF(G29&gt;0,1+G29/100,1+100/ABS(G29))</x:f>
        <x:v>6</x:v>
      </x:c>
      <x:c r="I29" s="20" t="n">
        <x:f>IF(G29&gt;0,100/(G29+100),ABS(G29)/(ABS(G29)+100))</x:f>
        <x:v>0.16666666666666666</x:v>
      </x:c>
      <x:c r="J29" s="12" t="str">
        <x:v>DraftKings</x:v>
      </x:c>
      <x:c r="K29" s="14" t="n">
        <x:v>45907</x:v>
      </x:c>
      <x:c r="L29" s="22" t="str">
        <x:v>https://www.foxsports.com/stories/nascar/2025-nascar-odds-gateway-enjoy-illinois-300</x:v>
      </x:c>
      <x:c r="M29" s="22" t="str">
        <x:v>Race-day archived board</x:v>
      </x:c>
      <x:c r="N29" s="22" t="str">
        <x:v>Full-field outright board</x:v>
      </x:c>
    </x:row>
    <x:row r="30">
      <x:c r="A30" s="12" t="n">
        <x:v>2025</x:v>
      </x:c>
      <x:c r="B30" s="12" t="n">
        <x:v>29</x:v>
      </x:c>
      <x:c r="C30" s="14" t="n">
        <x:v>45913</x:v>
      </x:c>
      <x:c r="D30" s="22" t="str">
        <x:v>Bass Pro Shops Night Race</x:v>
      </x:c>
      <x:c r="E30" s="22" t="str">
        <x:v>Bristol Motor Speedway</x:v>
      </x:c>
      <x:c r="F30" s="22" t="str">
        <x:v>Christopher Bell</x:v>
      </x:c>
      <x:c r="G30" s="16" t="n">
        <x:v>1000</x:v>
      </x:c>
      <x:c r="H30" s="18" t="n">
        <x:f>IF(G30&gt;0,1+G30/100,1+100/ABS(G30))</x:f>
        <x:v>11</x:v>
      </x:c>
      <x:c r="I30" s="20" t="n">
        <x:f>IF(G30&gt;0,100/(G30+100),ABS(G30)/(ABS(G30)+100))</x:f>
        <x:v>0.09090909090909091</x:v>
      </x:c>
      <x:c r="J30" s="12" t="str">
        <x:v>DraftKings</x:v>
      </x:c>
      <x:c r="K30" s="14" t="n">
        <x:v>45913</x:v>
      </x:c>
      <x:c r="L30" s="22" t="str">
        <x:v>https://www.foxsports.com/stories/nascar/2025-nascar-odds-bristol-playoff-race</x:v>
      </x:c>
      <x:c r="M30" s="22" t="str">
        <x:v>Race-day archived board</x:v>
      </x:c>
      <x:c r="N30" s="22" t="str">
        <x:v>Full-field outright board</x:v>
      </x:c>
    </x:row>
    <x:row r="31">
      <x:c r="A31" s="12" t="n">
        <x:v>2025</x:v>
      </x:c>
      <x:c r="B31" s="12" t="n">
        <x:v>30</x:v>
      </x:c>
      <x:c r="C31" s="14" t="n">
        <x:v>45921</x:v>
      </x:c>
      <x:c r="D31" s="22" t="str">
        <x:v>Mobil 1 301</x:v>
      </x:c>
      <x:c r="E31" s="22" t="str">
        <x:v>New Hampshire Motor Speedway</x:v>
      </x:c>
      <x:c r="F31" s="22" t="str">
        <x:v>Ryan Blaney</x:v>
      </x:c>
      <x:c r="G31" s="16" t="n">
        <x:v>320</x:v>
      </x:c>
      <x:c r="H31" s="18" t="n">
        <x:f>IF(G31&gt;0,1+G31/100,1+100/ABS(G31))</x:f>
        <x:v>4.2</x:v>
      </x:c>
      <x:c r="I31" s="20" t="n">
        <x:f>IF(G31&gt;0,100/(G31+100),ABS(G31)/(ABS(G31)+100))</x:f>
        <x:v>0.23809523809523808</x:v>
      </x:c>
      <x:c r="J31" s="12" t="str">
        <x:v>DraftKings</x:v>
      </x:c>
      <x:c r="K31" s="14" t="n">
        <x:v>45921</x:v>
      </x:c>
      <x:c r="L31" s="22" t="str">
        <x:v>https://www.foxsports.com/stories/nascar/2025-nascar-odds-new-hampshire-mobil-1-301</x:v>
      </x:c>
      <x:c r="M31" s="22" t="str">
        <x:v>Race-day archived board</x:v>
      </x:c>
      <x:c r="N31" s="22" t="str">
        <x:v>Full-field outright board</x:v>
      </x:c>
    </x:row>
    <x:row r="32">
      <x:c r="A32" s="12" t="n">
        <x:v>2025</x:v>
      </x:c>
      <x:c r="B32" s="12" t="n">
        <x:v>31</x:v>
      </x:c>
      <x:c r="C32" s="14" t="n">
        <x:v>45928</x:v>
      </x:c>
      <x:c r="D32" s="22" t="str">
        <x:v>Hollywood Casino 400</x:v>
      </x:c>
      <x:c r="E32" s="22" t="str">
        <x:v>Kansas Speedway</x:v>
      </x:c>
      <x:c r="F32" s="22" t="str">
        <x:v>Chase Elliott</x:v>
      </x:c>
      <x:c r="G32" s="16" t="n">
        <x:v>1200</x:v>
      </x:c>
      <x:c r="H32" s="18" t="n">
        <x:f>IF(G32&gt;0,1+G32/100,1+100/ABS(G32))</x:f>
        <x:v>13</x:v>
      </x:c>
      <x:c r="I32" s="20" t="n">
        <x:f>IF(G32&gt;0,100/(G32+100),ABS(G32)/(ABS(G32)+100))</x:f>
        <x:v>0.07692307692307693</x:v>
      </x:c>
      <x:c r="J32" s="12" t="str">
        <x:v>DraftKings</x:v>
      </x:c>
      <x:c r="K32" s="14" t="n">
        <x:v>45928</x:v>
      </x:c>
      <x:c r="L32" s="22" t="str">
        <x:v>https://www.foxsports.com/stories/nascar/2025-nascar-odds-kansas-speedway-400</x:v>
      </x:c>
      <x:c r="M32" s="22" t="str">
        <x:v>Race-day archived board</x:v>
      </x:c>
      <x:c r="N32" s="22" t="str">
        <x:v>Full-field outright board</x:v>
      </x:c>
    </x:row>
    <x:row r="33">
      <x:c r="A33" s="12" t="n">
        <x:v>2025</x:v>
      </x:c>
      <x:c r="B33" s="12" t="n">
        <x:v>32</x:v>
      </x:c>
      <x:c r="C33" s="14" t="n">
        <x:v>45935</x:v>
      </x:c>
      <x:c r="D33" s="22" t="str">
        <x:v>Bank of America ROVAL 400</x:v>
      </x:c>
      <x:c r="E33" s="22" t="str">
        <x:v>Charlotte Motor Speedway ROVAL</x:v>
      </x:c>
      <x:c r="F33" s="22" t="str">
        <x:v>Shane van Gisbergen</x:v>
      </x:c>
      <x:c r="G33" s="16" t="n">
        <x:v>-120</x:v>
      </x:c>
      <x:c r="H33" s="18" t="n">
        <x:f>IF(G33&gt;0,1+G33/100,1+100/ABS(G33))</x:f>
        <x:v>1.8333333333333335</x:v>
      </x:c>
      <x:c r="I33" s="20" t="n">
        <x:f>IF(G33&gt;0,100/(G33+100),ABS(G33)/(ABS(G33)+100))</x:f>
        <x:v>0.5454545454545454</x:v>
      </x:c>
      <x:c r="J33" s="12" t="str">
        <x:v>DraftKings</x:v>
      </x:c>
      <x:c r="K33" s="14" t="n">
        <x:v>45935</x:v>
      </x:c>
      <x:c r="L33" s="22" t="str">
        <x:v>https://www.foxsports.com/stories/nascar/2025-nascar-odds-charlotte-roval</x:v>
      </x:c>
      <x:c r="M33" s="22" t="str">
        <x:v>Race-day archived board</x:v>
      </x:c>
      <x:c r="N33" s="22" t="str">
        <x:v>Full-field outright board</x:v>
      </x:c>
    </x:row>
    <x:row r="34">
      <x:c r="A34" s="12" t="n">
        <x:v>2025</x:v>
      </x:c>
      <x:c r="B34" s="12" t="n">
        <x:v>33</x:v>
      </x:c>
      <x:c r="C34" s="14" t="n">
        <x:v>45942</x:v>
      </x:c>
      <x:c r="D34" s="22" t="str">
        <x:v>South Point 400</x:v>
      </x:c>
      <x:c r="E34" s="22" t="str">
        <x:v>Las Vegas Motor Speedway</x:v>
      </x:c>
      <x:c r="F34" s="22" t="str">
        <x:v>Denny Hamlin</x:v>
      </x:c>
      <x:c r="G34" s="16" t="n">
        <x:v>550</x:v>
      </x:c>
      <x:c r="H34" s="18" t="n">
        <x:f>IF(G34&gt;0,1+G34/100,1+100/ABS(G34))</x:f>
        <x:v>6.5</x:v>
      </x:c>
      <x:c r="I34" s="20" t="n">
        <x:f>IF(G34&gt;0,100/(G34+100),ABS(G34)/(ABS(G34)+100))</x:f>
        <x:v>0.15384615384615385</x:v>
      </x:c>
      <x:c r="J34" s="12" t="str">
        <x:v>FanDuel</x:v>
      </x:c>
      <x:c r="K34" s="14" t="n">
        <x:v>45942</x:v>
      </x:c>
      <x:c r="L34" s="22" t="str">
        <x:v>https://www.foxsports.com/stories/nascar/2025-nascar-odds-vegas</x:v>
      </x:c>
      <x:c r="M34" s="22" t="str">
        <x:v>Race-day archived board</x:v>
      </x:c>
      <x:c r="N34" s="22" t="str">
        <x:v>Full-field outright board</x:v>
      </x:c>
    </x:row>
    <x:row r="35">
      <x:c r="A35" s="12" t="n">
        <x:v>2025</x:v>
      </x:c>
      <x:c r="B35" s="12" t="n">
        <x:v>34</x:v>
      </x:c>
      <x:c r="C35" s="14" t="n">
        <x:v>45949</x:v>
      </x:c>
      <x:c r="D35" s="22" t="str">
        <x:v>YellaWood 500</x:v>
      </x:c>
      <x:c r="E35" s="22" t="str">
        <x:v>Talladega Superspeedway</x:v>
      </x:c>
      <x:c r="F35" s="22" t="str">
        <x:v>Chase Briscoe</x:v>
      </x:c>
      <x:c r="G35" s="16" t="n">
        <x:v>1800</x:v>
      </x:c>
      <x:c r="H35" s="18" t="n">
        <x:f>IF(G35&gt;0,1+G35/100,1+100/ABS(G35))</x:f>
        <x:v>19</x:v>
      </x:c>
      <x:c r="I35" s="20" t="n">
        <x:f>IF(G35&gt;0,100/(G35+100),ABS(G35)/(ABS(G35)+100))</x:f>
        <x:v>0.05263157894736842</x:v>
      </x:c>
      <x:c r="J35" s="12" t="str">
        <x:v>DraftKings</x:v>
      </x:c>
      <x:c r="K35" s="14" t="n">
        <x:v>45949</x:v>
      </x:c>
      <x:c r="L35" s="22" t="str">
        <x:v>https://www.foxsports.com/stories/nascar/2025-nascar-odds-talladega</x:v>
      </x:c>
      <x:c r="M35" s="22" t="str">
        <x:v>Race-day archived board</x:v>
      </x:c>
      <x:c r="N35" s="22" t="str">
        <x:v>FOX race-day line; other archive differed</x:v>
      </x:c>
    </x:row>
    <x:row r="36">
      <x:c r="A36" s="12" t="n">
        <x:v>2025</x:v>
      </x:c>
      <x:c r="B36" s="12" t="n">
        <x:v>35</x:v>
      </x:c>
      <x:c r="C36" s="14" t="n">
        <x:v>45956</x:v>
      </x:c>
      <x:c r="D36" s="22" t="str">
        <x:v>Xfinity 500</x:v>
      </x:c>
      <x:c r="E36" s="22" t="str">
        <x:v>Martinsville Speedway</x:v>
      </x:c>
      <x:c r="F36" s="22" t="str">
        <x:v>William Byron</x:v>
      </x:c>
      <x:c r="G36" s="16" t="n">
        <x:v>285</x:v>
      </x:c>
      <x:c r="H36" s="18" t="n">
        <x:f>IF(G36&gt;0,1+G36/100,1+100/ABS(G36))</x:f>
        <x:v>3.85</x:v>
      </x:c>
      <x:c r="I36" s="20" t="n">
        <x:f>IF(G36&gt;0,100/(G36+100),ABS(G36)/(ABS(G36)+100))</x:f>
        <x:v>0.2597402597402597</x:v>
      </x:c>
      <x:c r="J36" s="12" t="str">
        <x:v>DraftKings</x:v>
      </x:c>
      <x:c r="K36" s="14" t="n">
        <x:v>45956</x:v>
      </x:c>
      <x:c r="L36" s="22" t="str">
        <x:v>https://www.foxsports.com/stories/nascar/martinsville-odds-xfinity-500-2025</x:v>
      </x:c>
      <x:c r="M36" s="22" t="str">
        <x:v>Race-day archived board</x:v>
      </x:c>
      <x:c r="N36" s="22" t="str">
        <x:v>Full-field outright board</x:v>
      </x:c>
    </x:row>
    <x:row r="37">
      <x:c r="A37" s="12" t="n">
        <x:v>2025</x:v>
      </x:c>
      <x:c r="B37" s="12" t="n">
        <x:v>36</x:v>
      </x:c>
      <x:c r="C37" s="14" t="n">
        <x:v>45963</x:v>
      </x:c>
      <x:c r="D37" s="22" t="str">
        <x:v>NASCAR Cup Series Championship Race</x:v>
      </x:c>
      <x:c r="E37" s="22" t="str">
        <x:v>Phoenix Raceway</x:v>
      </x:c>
      <x:c r="F37" s="22" t="str">
        <x:v>Ryan Blaney</x:v>
      </x:c>
      <x:c r="G37" s="16" t="n">
        <x:v>460</x:v>
      </x:c>
      <x:c r="H37" s="18" t="n">
        <x:f>IF(G37&gt;0,1+G37/100,1+100/ABS(G37))</x:f>
        <x:v>5.6</x:v>
      </x:c>
      <x:c r="I37" s="20" t="n">
        <x:f>IF(G37&gt;0,100/(G37+100),ABS(G37)/(ABS(G37)+100))</x:f>
        <x:v>0.17857142857142858</x:v>
      </x:c>
      <x:c r="J37" s="12" t="str">
        <x:v>FanDuel</x:v>
      </x:c>
      <x:c r="K37" s="14" t="n">
        <x:v>45963</x:v>
      </x:c>
      <x:c r="L37" s="22" t="str">
        <x:v>https://www.foxsports.com/stories/nascar/2025-nascar-odds-phoenix-championship-race</x:v>
      </x:c>
      <x:c r="M37" s="22" t="str">
        <x:v>Race-day archived board</x:v>
      </x:c>
      <x:c r="N37" s="22" t="str">
        <x:v>Full-field outright board</x:v>
      </x:c>
    </x:row>
    <x:row r="38">
      <x:c r="A38" s="12" t="n">
        <x:v>2026</x:v>
      </x:c>
      <x:c r="B38" s="12" t="n">
        <x:v>1</x:v>
      </x:c>
      <x:c r="C38" s="14" t="n">
        <x:v>46068</x:v>
      </x:c>
      <x:c r="D38" s="22" t="str">
        <x:v>Daytona 500</x:v>
      </x:c>
      <x:c r="E38" s="22" t="str">
        <x:v>Daytona International Speedway</x:v>
      </x:c>
      <x:c r="F38" s="22" t="str">
        <x:v>Tyler Reddick</x:v>
      </x:c>
      <x:c r="G38" s="16" t="n">
        <x:v>4000</x:v>
      </x:c>
      <x:c r="H38" s="18" t="n">
        <x:f>IF(G38&gt;0,1+G38/100,1+100/ABS(G38))</x:f>
        <x:v>41</x:v>
      </x:c>
      <x:c r="I38" s="20" t="n">
        <x:f>IF(G38&gt;0,100/(G38+100),ABS(G38)/(ABS(G38)+100))</x:f>
        <x:v>0.024390243902439025</x:v>
      </x:c>
      <x:c r="J38" s="12" t="str">
        <x:v>DraftKings</x:v>
      </x:c>
      <x:c r="K38" s="14" t="n">
        <x:v>46067</x:v>
      </x:c>
      <x:c r="L38" s="22" t="str">
        <x:v>https://www.foxsports.com/stories/nascar/2026-daytona-500-odds</x:v>
      </x:c>
      <x:c r="M38" s="22" t="str">
        <x:v>Near-race archived board</x:v>
      </x:c>
      <x:c r="N38" s="22" t="str">
        <x:v>Full-field outright board</x:v>
      </x:c>
    </x:row>
    <x:row r="39">
      <x:c r="A39" s="12" t="n">
        <x:v>2026</x:v>
      </x:c>
      <x:c r="B39" s="12" t="n">
        <x:v>2</x:v>
      </x:c>
      <x:c r="C39" s="14" t="n">
        <x:v>46075</x:v>
      </x:c>
      <x:c r="D39" s="22" t="str">
        <x:v>Autotrader 400</x:v>
      </x:c>
      <x:c r="E39" s="22" t="str">
        <x:v>EchoPark Speedway</x:v>
      </x:c>
      <x:c r="F39" s="22" t="str">
        <x:v>Tyler Reddick</x:v>
      </x:c>
      <x:c r="G39" s="16" t="n">
        <x:v>2200</x:v>
      </x:c>
      <x:c r="H39" s="18" t="n">
        <x:f>IF(G39&gt;0,1+G39/100,1+100/ABS(G39))</x:f>
        <x:v>23</x:v>
      </x:c>
      <x:c r="I39" s="20" t="n">
        <x:f>IF(G39&gt;0,100/(G39+100),ABS(G39)/(ABS(G39)+100))</x:f>
        <x:v>0.043478260869565216</x:v>
      </x:c>
      <x:c r="J39" s="12" t="str">
        <x:v>DraftKings</x:v>
      </x:c>
      <x:c r="K39" s="14" t="n">
        <x:v>46075</x:v>
      </x:c>
      <x:c r="L39" s="22" t="str">
        <x:v>https://www.foxsports.com/stories/nascar/2026-nascar-odds-atl-spring-race</x:v>
      </x:c>
      <x:c r="M39" s="22" t="str">
        <x:v>Race-day archived board</x:v>
      </x:c>
      <x:c r="N39" s="22" t="str">
        <x:v>Full-field outright board</x:v>
      </x:c>
    </x:row>
    <x:row r="40">
      <x:c r="A40" s="12" t="n">
        <x:v>2026</x:v>
      </x:c>
      <x:c r="B40" s="12" t="n">
        <x:v>3</x:v>
      </x:c>
      <x:c r="C40" s="14" t="n">
        <x:v>46082</x:v>
      </x:c>
      <x:c r="D40" s="22" t="str">
        <x:v>DuraMAX Texas Grand Prix</x:v>
      </x:c>
      <x:c r="E40" s="22" t="str">
        <x:v>Circuit of the Americas</x:v>
      </x:c>
      <x:c r="F40" s="22" t="str">
        <x:v>Tyler Reddick</x:v>
      </x:c>
      <x:c r="G40" s="16" t="n">
        <x:v>400</x:v>
      </x:c>
      <x:c r="H40" s="18" t="n">
        <x:f>IF(G40&gt;0,1+G40/100,1+100/ABS(G40))</x:f>
        <x:v>5</x:v>
      </x:c>
      <x:c r="I40" s="20" t="n">
        <x:f>IF(G40&gt;0,100/(G40+100),ABS(G40)/(ABS(G40)+100))</x:f>
        <x:v>0.2</x:v>
      </x:c>
      <x:c r="J40" s="12" t="str">
        <x:v>DraftKings</x:v>
      </x:c>
      <x:c r="K40" s="14" t="n">
        <x:v>46082</x:v>
      </x:c>
      <x:c r="L40" s="22" t="str">
        <x:v>https://www.foxsports.com/stories/nascar/2026-nascar-odds-cota-duramax-texas-grand-prix</x:v>
      </x:c>
      <x:c r="M40" s="22" t="str">
        <x:v>Race-day archived board</x:v>
      </x:c>
      <x:c r="N40" s="22" t="str">
        <x:v>Full-field outright board</x:v>
      </x:c>
    </x:row>
    <x:row r="41">
      <x:c r="A41" s="12" t="n">
        <x:v>2026</x:v>
      </x:c>
      <x:c r="B41" s="12" t="n">
        <x:v>4</x:v>
      </x:c>
      <x:c r="C41" s="14" t="n">
        <x:v>46089</x:v>
      </x:c>
      <x:c r="D41" s="22" t="str">
        <x:v>Straight Talk Wireless 500</x:v>
      </x:c>
      <x:c r="E41" s="22" t="str">
        <x:v>Phoenix Raceway</x:v>
      </x:c>
      <x:c r="F41" s="22" t="str">
        <x:v>Ryan Blaney</x:v>
      </x:c>
      <x:c r="G41" s="16" t="n">
        <x:v>285</x:v>
      </x:c>
      <x:c r="H41" s="18" t="n">
        <x:f>IF(G41&gt;0,1+G41/100,1+100/ABS(G41))</x:f>
        <x:v>3.85</x:v>
      </x:c>
      <x:c r="I41" s="20" t="n">
        <x:f>IF(G41&gt;0,100/(G41+100),ABS(G41)/(ABS(G41)+100))</x:f>
        <x:v>0.2597402597402597</x:v>
      </x:c>
      <x:c r="J41" s="12" t="str">
        <x:v>DraftKings</x:v>
      </x:c>
      <x:c r="K41" s="14" t="n">
        <x:v>46089</x:v>
      </x:c>
      <x:c r="L41" s="22" t="str">
        <x:v>https://www.foxsports.com/stories/nascar/2026-nascar-odds-phoenix-spring-race</x:v>
      </x:c>
      <x:c r="M41" s="22" t="str">
        <x:v>Race-day archived board</x:v>
      </x:c>
      <x:c r="N41" s="22" t="str">
        <x:v>Full-field outright board</x:v>
      </x:c>
    </x:row>
    <x:row r="42">
      <x:c r="A42" s="12" t="n">
        <x:v>2026</x:v>
      </x:c>
      <x:c r="B42" s="12" t="n">
        <x:v>5</x:v>
      </x:c>
      <x:c r="C42" s="14" t="n">
        <x:v>46096</x:v>
      </x:c>
      <x:c r="D42" s="22" t="str">
        <x:v>Pennzoil 400</x:v>
      </x:c>
      <x:c r="E42" s="22" t="str">
        <x:v>Las Vegas Motor Speedway</x:v>
      </x:c>
      <x:c r="F42" s="22" t="str">
        <x:v>Denny Hamlin</x:v>
      </x:c>
      <x:c r="G42" s="16" t="n">
        <x:v>550</x:v>
      </x:c>
      <x:c r="H42" s="18" t="n">
        <x:f>IF(G42&gt;0,1+G42/100,1+100/ABS(G42))</x:f>
        <x:v>6.5</x:v>
      </x:c>
      <x:c r="I42" s="20" t="n">
        <x:f>IF(G42&gt;0,100/(G42+100),ABS(G42)/(ABS(G42)+100))</x:f>
        <x:v>0.15384615384615385</x:v>
      </x:c>
      <x:c r="J42" s="12" t="str">
        <x:v>DraftKings</x:v>
      </x:c>
      <x:c r="K42" s="14" t="n">
        <x:v>46096</x:v>
      </x:c>
      <x:c r="L42" s="22" t="str">
        <x:v>https://www.foxsports.com/stories/nascar/2026-nascar-odds-vegas-spring-race</x:v>
      </x:c>
      <x:c r="M42" s="22" t="str">
        <x:v>Race-day archived board</x:v>
      </x:c>
      <x:c r="N42" s="22" t="str">
        <x:v>Used listed board (+550), not prose typo (+500)</x:v>
      </x:c>
    </x:row>
    <x:row r="43">
      <x:c r="A43" s="12" t="n">
        <x:v>2026</x:v>
      </x:c>
      <x:c r="B43" s="12" t="n">
        <x:v>6</x:v>
      </x:c>
      <x:c r="C43" s="14" t="n">
        <x:v>46103</x:v>
      </x:c>
      <x:c r="D43" s="22" t="str">
        <x:v>Goodyear 400</x:v>
      </x:c>
      <x:c r="E43" s="22" t="str">
        <x:v>Darlington Raceway</x:v>
      </x:c>
      <x:c r="F43" s="22" t="str">
        <x:v>Tyler Reddick</x:v>
      </x:c>
      <x:c r="G43" s="16" t="n">
        <x:v>300</x:v>
      </x:c>
      <x:c r="H43" s="18" t="n">
        <x:f>IF(G43&gt;0,1+G43/100,1+100/ABS(G43))</x:f>
        <x:v>4</x:v>
      </x:c>
      <x:c r="I43" s="20" t="n">
        <x:f>IF(G43&gt;0,100/(G43+100),ABS(G43)/(ABS(G43)+100))</x:f>
        <x:v>0.25</x:v>
      </x:c>
      <x:c r="J43" s="12" t="str">
        <x:v>DraftKings</x:v>
      </x:c>
      <x:c r="K43" s="14" t="n">
        <x:v>46103</x:v>
      </x:c>
      <x:c r="L43" s="22" t="str">
        <x:v>https://www.foxsports.com/stories/nascar/darlington-spring-race-odds</x:v>
      </x:c>
      <x:c r="M43" s="22" t="str">
        <x:v>Race-day archived board</x:v>
      </x:c>
      <x:c r="N43" s="22" t="str">
        <x:v>Later FOX update; earlier source showed +350</x:v>
      </x:c>
    </x:row>
    <x:row r="44">
      <x:c r="A44" s="12" t="n">
        <x:v>2026</x:v>
      </x:c>
      <x:c r="B44" s="12" t="n">
        <x:v>7</x:v>
      </x:c>
      <x:c r="C44" s="14" t="n">
        <x:v>46110</x:v>
      </x:c>
      <x:c r="D44" s="22" t="str">
        <x:v>Cook Out 400</x:v>
      </x:c>
      <x:c r="E44" s="22" t="str">
        <x:v>Martinsville Speedway</x:v>
      </x:c>
      <x:c r="F44" s="22" t="str">
        <x:v>Chase Elliott</x:v>
      </x:c>
      <x:c r="G44" s="16" t="n">
        <x:v>600</x:v>
      </x:c>
      <x:c r="H44" s="18" t="n">
        <x:f>IF(G44&gt;0,1+G44/100,1+100/ABS(G44))</x:f>
        <x:v>7</x:v>
      </x:c>
      <x:c r="I44" s="20" t="n">
        <x:f>IF(G44&gt;0,100/(G44+100),ABS(G44)/(ABS(G44)+100))</x:f>
        <x:v>0.14285714285714285</x:v>
      </x:c>
      <x:c r="J44" s="12" t="str">
        <x:v>DraftKings</x:v>
      </x:c>
      <x:c r="K44" s="14" t="n">
        <x:v>46110</x:v>
      </x:c>
      <x:c r="L44" s="22" t="str">
        <x:v>https://www.foxsports.com/stories/nascar/2026-nascar-odds-cook-out-400-martinsville</x:v>
      </x:c>
      <x:c r="M44" s="22" t="str">
        <x:v>Race-day archived board</x:v>
      </x:c>
      <x:c r="N44" s="22" t="str">
        <x:v>Full-field outright board</x:v>
      </x:c>
    </x:row>
    <x:row r="45">
      <x:c r="A45" s="12" t="n">
        <x:v>2026</x:v>
      </x:c>
      <x:c r="B45" s="12" t="n">
        <x:v>8</x:v>
      </x:c>
      <x:c r="C45" s="14" t="n">
        <x:v>46124</x:v>
      </x:c>
      <x:c r="D45" s="22" t="str">
        <x:v>Food City 500</x:v>
      </x:c>
      <x:c r="E45" s="22" t="str">
        <x:v>Bristol Motor Speedway</x:v>
      </x:c>
      <x:c r="F45" s="22" t="str">
        <x:v>Ty Gibbs</x:v>
      </x:c>
      <x:c r="G45" s="16" t="n">
        <x:v>700</x:v>
      </x:c>
      <x:c r="H45" s="18" t="n">
        <x:f>IF(G45&gt;0,1+G45/100,1+100/ABS(G45))</x:f>
        <x:v>8</x:v>
      </x:c>
      <x:c r="I45" s="20" t="n">
        <x:f>IF(G45&gt;0,100/(G45+100),ABS(G45)/(ABS(G45)+100))</x:f>
        <x:v>0.125</x:v>
      </x:c>
      <x:c r="J45" s="12" t="str">
        <x:v>DraftKings</x:v>
      </x:c>
      <x:c r="K45" s="14" t="n">
        <x:v>46124</x:v>
      </x:c>
      <x:c r="L45" s="22" t="str">
        <x:v>https://www.foxsports.com/stories/nascar/2026-nascar-odds-bristol-spring-race</x:v>
      </x:c>
      <x:c r="M45" s="22" t="str">
        <x:v>Race-day archived board</x:v>
      </x:c>
      <x:c r="N45" s="22" t="str">
        <x:v>Full-field outright board</x:v>
      </x:c>
    </x:row>
    <x:row r="46">
      <x:c r="A46" s="12" t="n">
        <x:v>2026</x:v>
      </x:c>
      <x:c r="B46" s="12" t="n">
        <x:v>9</x:v>
      </x:c>
      <x:c r="C46" s="14" t="n">
        <x:v>46131</x:v>
      </x:c>
      <x:c r="D46" s="22" t="str">
        <x:v>AdventHealth 400</x:v>
      </x:c>
      <x:c r="E46" s="22" t="str">
        <x:v>Kansas Speedway</x:v>
      </x:c>
      <x:c r="F46" s="22" t="str">
        <x:v>Tyler Reddick</x:v>
      </x:c>
      <x:c r="G46" s="16" t="n">
        <x:v>330</x:v>
      </x:c>
      <x:c r="H46" s="18" t="n">
        <x:f>IF(G46&gt;0,1+G46/100,1+100/ABS(G46))</x:f>
        <x:v>4.3</x:v>
      </x:c>
      <x:c r="I46" s="20" t="n">
        <x:f>IF(G46&gt;0,100/(G46+100),ABS(G46)/(ABS(G46)+100))</x:f>
        <x:v>0.23255813953488372</x:v>
      </x:c>
      <x:c r="J46" s="12" t="str">
        <x:v>DraftKings</x:v>
      </x:c>
      <x:c r="K46" s="14" t="n">
        <x:v>46131</x:v>
      </x:c>
      <x:c r="L46" s="22" t="str">
        <x:v>https://www.foxsports.com/stories/nascar/2026-nascar-odds-kansas-spring-race</x:v>
      </x:c>
      <x:c r="M46" s="22" t="str">
        <x:v>Race-day archived board</x:v>
      </x:c>
      <x:c r="N46" s="22" t="str">
        <x:v>Full-field outright board</x:v>
      </x:c>
    </x:row>
    <x:row r="47">
      <x:c r="A47" s="12" t="n">
        <x:v>2026</x:v>
      </x:c>
      <x:c r="B47" s="12" t="n">
        <x:v>10</x:v>
      </x:c>
      <x:c r="C47" s="14" t="n">
        <x:v>46138</x:v>
      </x:c>
      <x:c r="D47" s="22" t="str">
        <x:v>Jack Link's 500</x:v>
      </x:c>
      <x:c r="E47" s="22" t="str">
        <x:v>Talladega Superspeedway</x:v>
      </x:c>
      <x:c r="F47" s="22" t="str">
        <x:v>Carson Hocevar</x:v>
      </x:c>
      <x:c r="G47" s="16" t="n">
        <x:v>1200</x:v>
      </x:c>
      <x:c r="H47" s="18" t="n">
        <x:f>IF(G47&gt;0,1+G47/100,1+100/ABS(G47))</x:f>
        <x:v>13</x:v>
      </x:c>
      <x:c r="I47" s="20" t="n">
        <x:f>IF(G47&gt;0,100/(G47+100),ABS(G47)/(ABS(G47)+100))</x:f>
        <x:v>0.07692307692307693</x:v>
      </x:c>
      <x:c r="J47" s="12" t="str">
        <x:v>DraftKings</x:v>
      </x:c>
      <x:c r="K47" s="14" t="n">
        <x:v>46138</x:v>
      </x:c>
      <x:c r="L47" s="22" t="str">
        <x:v>https://www.foxsports.com/stories/nascar/2026-nascar-odds-talladega-spring-race</x:v>
      </x:c>
      <x:c r="M47" s="22" t="str">
        <x:v>Race-day archived board</x:v>
      </x:c>
      <x:c r="N47" s="22" t="str">
        <x:v>Full-field outright board</x:v>
      </x:c>
    </x:row>
    <x:row r="48">
      <x:c r="A48" s="12" t="n">
        <x:v>2026</x:v>
      </x:c>
      <x:c r="B48" s="12" t="n">
        <x:v>11</x:v>
      </x:c>
      <x:c r="C48" s="14" t="n">
        <x:v>46145</x:v>
      </x:c>
      <x:c r="D48" s="22" t="str">
        <x:v>Würth 400</x:v>
      </x:c>
      <x:c r="E48" s="22" t="str">
        <x:v>Texas Motor Speedway</x:v>
      </x:c>
      <x:c r="F48" s="22" t="str">
        <x:v>Chase Elliott</x:v>
      </x:c>
      <x:c r="G48" s="16" t="n">
        <x:v>1400</x:v>
      </x:c>
      <x:c r="H48" s="18" t="n">
        <x:f>IF(G48&gt;0,1+G48/100,1+100/ABS(G48))</x:f>
        <x:v>15</x:v>
      </x:c>
      <x:c r="I48" s="20" t="n">
        <x:f>IF(G48&gt;0,100/(G48+100),ABS(G48)/(ABS(G48)+100))</x:f>
        <x:v>0.06666666666666667</x:v>
      </x:c>
      <x:c r="J48" s="12" t="str">
        <x:v>DraftKings</x:v>
      </x:c>
      <x:c r="K48" s="14" t="n">
        <x:v>46145</x:v>
      </x:c>
      <x:c r="L48" s="22" t="str">
        <x:v>https://www.foxsports.com/stories/nascar/2026-nascar-odds-texas-wurth-400</x:v>
      </x:c>
      <x:c r="M48" s="22" t="str">
        <x:v>Race-day archived board</x:v>
      </x:c>
      <x:c r="N48" s="22" t="str">
        <x:v>Full-field outright board</x:v>
      </x:c>
    </x:row>
    <x:row r="49">
      <x:c r="A49" s="12" t="n">
        <x:v>2026</x:v>
      </x:c>
      <x:c r="B49" s="12" t="n">
        <x:v>12</x:v>
      </x:c>
      <x:c r="C49" s="14" t="n">
        <x:v>46152</x:v>
      </x:c>
      <x:c r="D49" s="22" t="str">
        <x:v>Go Bowling at The Glen</x:v>
      </x:c>
      <x:c r="E49" s="22" t="str">
        <x:v>Watkins Glen International</x:v>
      </x:c>
      <x:c r="F49" s="22" t="str">
        <x:v>Shane van Gisbergen</x:v>
      </x:c>
      <x:c r="G49" s="16" t="n">
        <x:v>-135</x:v>
      </x:c>
      <x:c r="H49" s="18" t="n">
        <x:f>IF(G49&gt;0,1+G49/100,1+100/ABS(G49))</x:f>
        <x:v>1.7407407407407407</x:v>
      </x:c>
      <x:c r="I49" s="20" t="n">
        <x:f>IF(G49&gt;0,100/(G49+100),ABS(G49)/(ABS(G49)+100))</x:f>
        <x:v>0.574468085106383</x:v>
      </x:c>
      <x:c r="J49" s="12" t="str">
        <x:v>DraftKings</x:v>
      </x:c>
      <x:c r="K49" s="14" t="n">
        <x:v>46152</x:v>
      </x:c>
      <x:c r="L49" s="22" t="str">
        <x:v>https://www.foxsports.com/stories/nascar/2026-nascar-odds-watkins-glen</x:v>
      </x:c>
      <x:c r="M49" s="22" t="str">
        <x:v>Race-day archived board</x:v>
      </x:c>
      <x:c r="N49" s="22" t="str">
        <x:v>Full-field outright board</x:v>
      </x:c>
    </x:row>
    <x:row r="50">
      <x:c r="A50" s="12" t="n">
        <x:v>2026</x:v>
      </x:c>
      <x:c r="B50" s="12" t="n">
        <x:v>13</x:v>
      </x:c>
      <x:c r="C50" s="14" t="n">
        <x:v>46166</x:v>
      </x:c>
      <x:c r="D50" s="22" t="str">
        <x:v>Coca-Cola 600</x:v>
      </x:c>
      <x:c r="E50" s="22" t="str">
        <x:v>Charlotte Motor Speedway</x:v>
      </x:c>
      <x:c r="F50" s="22" t="str">
        <x:v>Daniel Suárez</x:v>
      </x:c>
      <x:c r="G50" s="16" t="n">
        <x:v>17000</x:v>
      </x:c>
      <x:c r="H50" s="18" t="n">
        <x:f>IF(G50&gt;0,1+G50/100,1+100/ABS(G50))</x:f>
        <x:v>171</x:v>
      </x:c>
      <x:c r="I50" s="20" t="n">
        <x:f>IF(G50&gt;0,100/(G50+100),ABS(G50)/(ABS(G50)+100))</x:f>
        <x:v>0.005847953216374269</x:v>
      </x:c>
      <x:c r="J50" s="12" t="str">
        <x:v>DraftKings</x:v>
      </x:c>
      <x:c r="K50" s="14" t="n">
        <x:v>46166</x:v>
      </x:c>
      <x:c r="L50" s="22" t="str">
        <x:v>https://www.foxsports.com/stories/nascar/2026-nascar-odds-coke-600</x:v>
      </x:c>
      <x:c r="M50" s="22" t="str">
        <x:v>Race-day archived board</x:v>
      </x:c>
      <x:c r="N50" s="22" t="str">
        <x:v>Full-field outright board</x:v>
      </x:c>
    </x:row>
    <x:row r="51">
      <x:c r="A51" s="12" t="n">
        <x:v>2026</x:v>
      </x:c>
      <x:c r="B51" s="12" t="n">
        <x:v>14</x:v>
      </x:c>
      <x:c r="C51" s="14" t="n">
        <x:v>46173</x:v>
      </x:c>
      <x:c r="D51" s="22" t="str">
        <x:v>Cracker Barrel 400</x:v>
      </x:c>
      <x:c r="E51" s="22" t="str">
        <x:v>Nashville Superspeedway</x:v>
      </x:c>
      <x:c r="F51" s="22" t="str">
        <x:v>Denny Hamlin</x:v>
      </x:c>
      <x:c r="G51" s="16" t="n">
        <x:v>285</x:v>
      </x:c>
      <x:c r="H51" s="18" t="n">
        <x:f>IF(G51&gt;0,1+G51/100,1+100/ABS(G51))</x:f>
        <x:v>3.85</x:v>
      </x:c>
      <x:c r="I51" s="20" t="n">
        <x:f>IF(G51&gt;0,100/(G51+100),ABS(G51)/(ABS(G51)+100))</x:f>
        <x:v>0.2597402597402597</x:v>
      </x:c>
      <x:c r="J51" s="12" t="str">
        <x:v>DraftKings</x:v>
      </x:c>
      <x:c r="K51" s="14" t="n">
        <x:v>46173</x:v>
      </x:c>
      <x:c r="L51" s="22" t="str">
        <x:v>https://www.foxsports.com/stories/nascar/2026-nascar-odds-nashville-cracker-barrel-400</x:v>
      </x:c>
      <x:c r="M51" s="22" t="str">
        <x:v>Race-day archived board</x:v>
      </x:c>
      <x:c r="N51" s="22" t="str">
        <x:v>Full-field outright board</x:v>
      </x:c>
    </x:row>
    <x:row r="52">
      <x:c r="A52" s="12" t="n">
        <x:v>2026</x:v>
      </x:c>
      <x:c r="B52" s="12" t="n">
        <x:v>15</x:v>
      </x:c>
      <x:c r="C52" s="14" t="n">
        <x:v>46180</x:v>
      </x:c>
      <x:c r="D52" s="22" t="str">
        <x:v>FireKeepers Casino 400</x:v>
      </x:c>
      <x:c r="E52" s="22" t="str">
        <x:v>Michigan International Speedway</x:v>
      </x:c>
      <x:c r="F52" s="22" t="str">
        <x:v>Denny Hamlin</x:v>
      </x:c>
      <x:c r="G52" s="16" t="n">
        <x:v>370</x:v>
      </x:c>
      <x:c r="H52" s="18" t="n">
        <x:f>IF(G52&gt;0,1+G52/100,1+100/ABS(G52))</x:f>
        <x:v>4.7</x:v>
      </x:c>
      <x:c r="I52" s="20" t="n">
        <x:f>IF(G52&gt;0,100/(G52+100),ABS(G52)/(ABS(G52)+100))</x:f>
        <x:v>0.2127659574468085</x:v>
      </x:c>
      <x:c r="J52" s="12" t="str">
        <x:v>DraftKings</x:v>
      </x:c>
      <x:c r="K52" s="14" t="n">
        <x:v>46180</x:v>
      </x:c>
      <x:c r="L52" s="22" t="str">
        <x:v>https://www.foxsports.com/stories/nascar/2026-nascar-odds-michigan-firekeepers-casino-400</x:v>
      </x:c>
      <x:c r="M52" s="22" t="str">
        <x:v>Race-day archived board</x:v>
      </x:c>
      <x:c r="N52" s="22" t="str">
        <x:v>Full-field outright board</x:v>
      </x:c>
    </x:row>
    <x:row r="53">
      <x:c r="A53" s="12" t="n">
        <x:v>2026</x:v>
      </x:c>
      <x:c r="B53" s="12" t="n">
        <x:v>16</x:v>
      </x:c>
      <x:c r="C53" s="14" t="n">
        <x:v>46187</x:v>
      </x:c>
      <x:c r="D53" s="22" t="str">
        <x:v>The Great American Getaway 400</x:v>
      </x:c>
      <x:c r="E53" s="22" t="str">
        <x:v>Pocono Raceway</x:v>
      </x:c>
      <x:c r="F53" s="22" t="str">
        <x:v>Denny Hamlin</x:v>
      </x:c>
      <x:c r="G53" s="16" t="n">
        <x:v>160</x:v>
      </x:c>
      <x:c r="H53" s="18" t="n">
        <x:f>IF(G53&gt;0,1+G53/100,1+100/ABS(G53))</x:f>
        <x:v>2.6</x:v>
      </x:c>
      <x:c r="I53" s="20" t="n">
        <x:f>IF(G53&gt;0,100/(G53+100),ABS(G53)/(ABS(G53)+100))</x:f>
        <x:v>0.38461538461538464</x:v>
      </x:c>
      <x:c r="J53" s="12" t="str">
        <x:v>DraftKings</x:v>
      </x:c>
      <x:c r="K53" s="14" t="n">
        <x:v>46187</x:v>
      </x:c>
      <x:c r="L53" s="22" t="str">
        <x:v>https://www.foxsports.com/stories/nascar/2026-nascar-odds-pocono-the-great-american-getaway-400</x:v>
      </x:c>
      <x:c r="M53" s="22" t="str">
        <x:v>Race-day archived board</x:v>
      </x:c>
      <x:c r="N53" s="22" t="str">
        <x:v>Full-field outright board</x:v>
      </x:c>
    </x:row>
    <x:row r="54">
      <x:c r="A54" s="12" t="n">
        <x:v>2026</x:v>
      </x:c>
      <x:c r="B54" s="12" t="n">
        <x:v>17</x:v>
      </x:c>
      <x:c r="C54" s="14" t="n">
        <x:v>46194</x:v>
      </x:c>
      <x:c r="D54" s="22" t="str">
        <x:v>Anduril 250 Race the Base</x:v>
      </x:c>
      <x:c r="E54" s="22" t="str">
        <x:v>Naval Base Coronado Street Course</x:v>
      </x:c>
      <x:c r="F54" s="22" t="str">
        <x:v>Corey Heim</x:v>
      </x:c>
      <x:c r="G54" s="16" t="n">
        <x:v>9000</x:v>
      </x:c>
      <x:c r="H54" s="18" t="n">
        <x:f>IF(G54&gt;0,1+G54/100,1+100/ABS(G54))</x:f>
        <x:v>91</x:v>
      </x:c>
      <x:c r="I54" s="20" t="n">
        <x:f>IF(G54&gt;0,100/(G54+100),ABS(G54)/(ABS(G54)+100))</x:f>
        <x:v>0.01098901098901099</x:v>
      </x:c>
      <x:c r="J54" s="12" t="str">
        <x:v>DraftKings</x:v>
      </x:c>
      <x:c r="K54" s="14" t="n">
        <x:v>46194</x:v>
      </x:c>
      <x:c r="L54" s="22" t="str">
        <x:v>https://www.foxsports.com/stories/nascar/2026-nascar-odds-naval-base-coronado-san-diego-anduril-250</x:v>
      </x:c>
      <x:c r="M54" s="22" t="str">
        <x:v>Race-day archived board</x:v>
      </x:c>
      <x:c r="N54" s="22" t="str">
        <x:v>Full-field outright board</x:v>
      </x:c>
    </x:row>
    <x:row r="55">
      <x:c r="A55" s="12" t="n">
        <x:v>2026</x:v>
      </x:c>
      <x:c r="B55" s="12" t="n">
        <x:v>18</x:v>
      </x:c>
      <x:c r="C55" s="14" t="n">
        <x:v>46201</x:v>
      </x:c>
      <x:c r="D55" s="22" t="str">
        <x:v>Toyota/Save Mart 350</x:v>
      </x:c>
      <x:c r="E55" s="22" t="str">
        <x:v>Sonoma Raceway</x:v>
      </x:c>
      <x:c r="F55" s="22" t="str">
        <x:v>Shane van Gisbergen</x:v>
      </x:c>
      <x:c r="G55" s="16" t="n">
        <x:v>-165</x:v>
      </x:c>
      <x:c r="H55" s="18" t="n">
        <x:f>IF(G55&gt;0,1+G55/100,1+100/ABS(G55))</x:f>
        <x:v>1.606060606060606</x:v>
      </x:c>
      <x:c r="I55" s="20" t="n">
        <x:f>IF(G55&gt;0,100/(G55+100),ABS(G55)/(ABS(G55)+100))</x:f>
        <x:v>0.6226415094339622</x:v>
      </x:c>
      <x:c r="J55" s="12" t="str">
        <x:v>DraftKings</x:v>
      </x:c>
      <x:c r="K55" s="14" t="n">
        <x:v>46201</x:v>
      </x:c>
      <x:c r="L55" s="22" t="str">
        <x:v>https://www.foxsports.com/stories/nascar/2026-nascar-odds-sonoma</x:v>
      </x:c>
      <x:c r="M55" s="22" t="str">
        <x:v>Race-day archived board</x:v>
      </x:c>
      <x:c r="N55" s="22" t="str">
        <x:v>Full-field outright board</x:v>
      </x:c>
    </x:row>
    <x:row r="56">
      <x:c r="A56" s="12" t="n">
        <x:v>2026</x:v>
      </x:c>
      <x:c r="B56" s="12" t="n">
        <x:v>19</x:v>
      </x:c>
      <x:c r="C56" s="14" t="n">
        <x:v>46208</x:v>
      </x:c>
      <x:c r="D56" s="22" t="str">
        <x:v>eero 400</x:v>
      </x:c>
      <x:c r="E56" s="22" t="str">
        <x:v>Chicagoland Speedway</x:v>
      </x:c>
      <x:c r="F56" s="22" t="str">
        <x:v>Chase Briscoe</x:v>
      </x:c>
      <x:c r="G56" s="16" t="n">
        <x:v>1800</x:v>
      </x:c>
      <x:c r="H56" s="18" t="n">
        <x:f>IF(G56&gt;0,1+G56/100,1+100/ABS(G56))</x:f>
        <x:v>19</x:v>
      </x:c>
      <x:c r="I56" s="20" t="n">
        <x:f>IF(G56&gt;0,100/(G56+100),ABS(G56)/(ABS(G56)+100))</x:f>
        <x:v>0.05263157894736842</x:v>
      </x:c>
      <x:c r="J56" s="12" t="str">
        <x:v>DraftKings</x:v>
      </x:c>
      <x:c r="K56" s="14" t="n">
        <x:v>46208</x:v>
      </x:c>
      <x:c r="L56" s="22" t="str">
        <x:v>https://www.foxsports.com/stories/nascar/2026-nascar-odds-chicagoland-eero-400</x:v>
      </x:c>
      <x:c r="M56" s="22" t="str">
        <x:v>Race-day archived board</x:v>
      </x:c>
      <x:c r="N56" s="22" t="str">
        <x:v>Full-field outright board</x:v>
      </x:c>
    </x:row>
    <x:row r="57">
      <x:c r="A57" s="12" t="n">
        <x:v>2026</x:v>
      </x:c>
      <x:c r="B57" s="12" t="n">
        <x:v>20</x:v>
      </x:c>
      <x:c r="C57" s="14" t="n">
        <x:v>46215</x:v>
      </x:c>
      <x:c r="D57" s="22" t="str">
        <x:v>Quaker State 400</x:v>
      </x:c>
      <x:c r="E57" s="22" t="str">
        <x:v>EchoPark Speedway</x:v>
      </x:c>
      <x:c r="F57" s="22" t="str">
        <x:v>Ryan Blaney</x:v>
      </x:c>
      <x:c r="G57" s="16" t="n">
        <x:v>700</x:v>
      </x:c>
      <x:c r="H57" s="18" t="n">
        <x:f>IF(G57&gt;0,1+G57/100,1+100/ABS(G57))</x:f>
        <x:v>8</x:v>
      </x:c>
      <x:c r="I57" s="20" t="n">
        <x:f>IF(G57&gt;0,100/(G57+100),ABS(G57)/(ABS(G57)+100))</x:f>
        <x:v>0.125</x:v>
      </x:c>
      <x:c r="J57" s="12" t="str">
        <x:v>DraftKings</x:v>
      </x:c>
      <x:c r="K57" s="14" t="n">
        <x:v>46215</x:v>
      </x:c>
      <x:c r="L57" s="22" t="str">
        <x:v>https://www.foxsports.com/stories/nascar/2026-nascar-odds-atlanta-summer-race-echopark-speedway</x:v>
      </x:c>
      <x:c r="M57" s="22" t="str">
        <x:v>Race-day archived board</x:v>
      </x:c>
      <x:c r="N57" s="22" t="str">
        <x:v>Full-field outright board</x:v>
      </x:c>
    </x:row>
  </x:sheetData>
  <x:conditionalFormatting sqref="G2:G57">
    <x:cfRule type="expression" dxfId="0" priority="1">
      <x:formula>G2&lt;0</x:formula>
    </x:cfRule>
  </x:conditionalFormatting>
  <x:conditionalFormatting sqref="I2:I57">
    <x:cfRule type="colorScale" priority="2">
      <x:colorScale>
        <x:cfvo type="min"/>
        <x:cfvo type="percentile" val="50"/>
        <x:cfvo type="max"/>
        <x:color rgb="FFFFFFFF"/>
        <x:color rgb="FFFCE8DA"/>
        <x:color rgb="FFF26A2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58247e54e8a40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12" hidden="0" customWidth="1"/>
    <x:col min="4" max="4" width="2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  <x:col min="11" max="11" width="42" hidden="0" customWidth="1"/>
    <x:col min="12" max="12" width="34" hidden="0" customWidth="1"/>
  </x:cols>
  <x:sheetData>
    <x:row r="1" ht="32" customHeight="1">
      <x:c r="A1" s="28" t="str">
        <x:v>Season</x:v>
      </x:c>
      <x:c r="B1" s="28" t="str">
        <x:v>Race #</x:v>
      </x:c>
      <x:c r="C1" s="28" t="str">
        <x:v>Race Date</x:v>
      </x:c>
      <x:c r="D1" s="28" t="str">
        <x:v>Race</x:v>
      </x:c>
      <x:c r="E1" s="28" t="str">
        <x:v>Driver</x:v>
      </x:c>
      <x:c r="F1" s="28" t="str">
        <x:v>Top-3 Odds (American)</x:v>
      </x:c>
      <x:c r="G1" s="28" t="str">
        <x:v>Top-3 Odds (Decimal)</x:v>
      </x:c>
      <x:c r="H1" s="28" t="str">
        <x:v>Implied Probability</x:v>
      </x:c>
      <x:c r="I1" s="28" t="str">
        <x:v>Sportsbook</x:v>
      </x:c>
      <x:c r="J1" s="28" t="str">
        <x:v>Odds As Of</x:v>
      </x:c>
      <x:c r="K1" s="28" t="str">
        <x:v>Source URL</x:v>
      </x:c>
      <x:c r="L1" s="28" t="str">
        <x:v>Verification Note</x:v>
      </x:c>
    </x:row>
    <x:row r="2">
      <x:c r="A2" t="n">
        <x:v>2025</x:v>
      </x:c>
      <x:c r="B2" t="n">
        <x:v>2</x:v>
      </x:c>
      <x:c r="C2" s="34" t="n">
        <x:v>45711</x:v>
      </x:c>
      <x:c r="D2" s="42" t="str">
        <x:v>Ambetter Health 400</x:v>
      </x:c>
      <x:c r="E2" s="42" t="str">
        <x:v>Alex Bowman</x:v>
      </x:c>
      <x:c r="F2" s="36" t="n">
        <x:v>900</x:v>
      </x:c>
      <x:c r="G2" s="38" t="n">
        <x:f>IF(F2&gt;0,1+F2/100,1+100/ABS(F2))</x:f>
        <x:v>10</x:v>
      </x:c>
      <x:c r="H2" s="40" t="n">
        <x:f>IF(F2&gt;0,100/(F2+100),ABS(F2)/(ABS(F2)+100))</x:f>
        <x:v>0.1</x:v>
      </x:c>
      <x:c r="I2" t="str">
        <x:v>FanDuel</x:v>
      </x:c>
      <x:c r="J2" s="34" t="n">
        <x:v>45708</x:v>
      </x:c>
      <x:c r="K2" s="42" t="str">
        <x:v>https://www.actionnetwork.com/nascar/nascar-odds-picks-ambetter-health-400-atlanta-sunday-2025</x:v>
      </x:c>
      <x:c r="L2" s="42" t="str">
        <x:v>Explicit Top-3 quote in archived article</x:v>
      </x:c>
    </x:row>
    <x:row r="3">
      <x:c r="A3" t="n">
        <x:v>2025</x:v>
      </x:c>
      <x:c r="B3" t="n">
        <x:v>12</x:v>
      </x:c>
      <x:c r="C3" s="34" t="n">
        <x:v>45788</x:v>
      </x:c>
      <x:c r="D3" s="42" t="str">
        <x:v>AdventHealth 400</x:v>
      </x:c>
      <x:c r="E3" s="42" t="str">
        <x:v>William Byron</x:v>
      </x:c>
      <x:c r="F3" s="36" t="n">
        <x:v>235</x:v>
      </x:c>
      <x:c r="G3" s="38" t="n">
        <x:f>IF(F3&gt;0,1+F3/100,1+100/ABS(F3))</x:f>
        <x:v>3.35</x:v>
      </x:c>
      <x:c r="H3" s="40" t="n">
        <x:f>IF(F3&gt;0,100/(F3+100),ABS(F3)/(ABS(F3)+100))</x:f>
        <x:v>0.29850746268656714</x:v>
      </x:c>
      <x:c r="I3" t="str">
        <x:v>DraftKings</x:v>
      </x:c>
      <x:c r="J3" s="34" t="n">
        <x:v>45788</x:v>
      </x:c>
      <x:c r="K3" s="42" t="str">
        <x:v>https://www.actionnetwork.com/nascar/nascar-odds-predictions-expert-pick-for-kansas-on-sunday-may-11</x:v>
      </x:c>
      <x:c r="L3" s="42" t="str">
        <x:v>Explicit Top-3 quote in archived article</x:v>
      </x:c>
    </x:row>
    <x:row r="4">
      <x:c r="A4" t="n">
        <x:v>2025</x:v>
      </x:c>
      <x:c r="B4" t="n">
        <x:v>13</x:v>
      </x:c>
      <x:c r="C4" s="34" t="n">
        <x:v>45802</x:v>
      </x:c>
      <x:c r="D4" s="42" t="str">
        <x:v>Coca-Cola 600</x:v>
      </x:c>
      <x:c r="E4" s="42" t="str">
        <x:v>Alex Bowman</x:v>
      </x:c>
      <x:c r="F4" s="36" t="n">
        <x:v>600</x:v>
      </x:c>
      <x:c r="G4" s="38" t="n">
        <x:f>IF(F4&gt;0,1+F4/100,1+100/ABS(F4))</x:f>
        <x:v>7</x:v>
      </x:c>
      <x:c r="H4" s="40" t="n">
        <x:f>IF(F4&gt;0,100/(F4+100),ABS(F4)/(ABS(F4)+100))</x:f>
        <x:v>0.14285714285714285</x:v>
      </x:c>
      <x:c r="I4" t="str">
        <x:v>FanDuel</x:v>
      </x:c>
      <x:c r="J4" s="34" t="n">
        <x:v>45802</x:v>
      </x:c>
      <x:c r="K4" s="42" t="str">
        <x:v>https://www.actionnetwork.com/nascar/coca-cola-600-odds-expert-picks-best-bets-for-nascar-at-charlotte</x:v>
      </x:c>
      <x:c r="L4" s="42" t="str">
        <x:v>Explicit finishing-position ladder</x:v>
      </x:c>
    </x:row>
    <x:row r="5">
      <x:c r="A5" t="n">
        <x:v>2025</x:v>
      </x:c>
      <x:c r="B5" t="n">
        <x:v>30</x:v>
      </x:c>
      <x:c r="C5" s="34" t="n">
        <x:v>45921</x:v>
      </x:c>
      <x:c r="D5" s="42" t="str">
        <x:v>Mobil 1 301</x:v>
      </x:c>
      <x:c r="E5" s="42" t="str">
        <x:v>William Byron</x:v>
      </x:c>
      <x:c r="F5" s="36" t="n">
        <x:v>300</x:v>
      </x:c>
      <x:c r="G5" s="38" t="n">
        <x:f>IF(F5&gt;0,1+F5/100,1+100/ABS(F5))</x:f>
        <x:v>4</x:v>
      </x:c>
      <x:c r="H5" s="40" t="n">
        <x:f>IF(F5&gt;0,100/(F5+100),ABS(F5)/(ABS(F5)+100))</x:f>
        <x:v>0.25</x:v>
      </x:c>
      <x:c r="I5" t="str">
        <x:v>Not identified</x:v>
      </x:c>
      <x:c r="J5" s="34" t="n">
        <x:v>45918</x:v>
      </x:c>
      <x:c r="K5" s="42" t="str">
        <x:v>https://www.sportsline.com/insiders/2025-mobil-1-301-odds-picks-projected-nascar-at-new-hampshire-leaderboard-predictions-by-top-model/</x:v>
      </x:c>
      <x:c r="L5" s="42" t="str">
        <x:v>SportsLine excerpt quotes Top-3 market</x:v>
      </x:c>
    </x:row>
    <x:row r="6">
      <x:c r="A6" t="n">
        <x:v>2025</x:v>
      </x:c>
      <x:c r="B6" t="n">
        <x:v>32</x:v>
      </x:c>
      <x:c r="C6" s="34" t="n">
        <x:v>45935</x:v>
      </x:c>
      <x:c r="D6" s="42" t="str">
        <x:v>Bank of America ROVAL 400</x:v>
      </x:c>
      <x:c r="E6" s="42" t="str">
        <x:v>AJ Allmendinger</x:v>
      </x:c>
      <x:c r="F6" s="36" t="n">
        <x:v>500</x:v>
      </x:c>
      <x:c r="G6" s="38" t="n">
        <x:f>IF(F6&gt;0,1+F6/100,1+100/ABS(F6))</x:f>
        <x:v>6</x:v>
      </x:c>
      <x:c r="H6" s="40" t="n">
        <x:f>IF(F6&gt;0,100/(F6+100),ABS(F6)/(ABS(F6)+100))</x:f>
        <x:v>0.16666666666666666</x:v>
      </x:c>
      <x:c r="I6" t="str">
        <x:v>Not identified</x:v>
      </x:c>
      <x:c r="J6" s="34" t="n">
        <x:v>45932</x:v>
      </x:c>
      <x:c r="K6" s="42" t="str">
        <x:v>https://www.sportsline.com/insiders/2025-bank-of-america-roval-400-odds-picks-projected-nascar-at-charlotte-leaderboard-predictions-by-top-model/</x:v>
      </x:c>
      <x:c r="L6" s="42" t="str">
        <x:v>SportsLine excerpt quotes Top-3 market</x:v>
      </x:c>
    </x:row>
    <x:row r="7">
      <x:c r="A7" t="n">
        <x:v>2025</x:v>
      </x:c>
      <x:c r="B7" t="n">
        <x:v>33</x:v>
      </x:c>
      <x:c r="C7" s="34" t="n">
        <x:v>45942</x:v>
      </x:c>
      <x:c r="D7" s="42" t="str">
        <x:v>South Point 400</x:v>
      </x:c>
      <x:c r="E7" s="42" t="str">
        <x:v>William Byron</x:v>
      </x:c>
      <x:c r="F7" s="36" t="n">
        <x:v>250</x:v>
      </x:c>
      <x:c r="G7" s="38" t="n">
        <x:f>IF(F7&gt;0,1+F7/100,1+100/ABS(F7))</x:f>
        <x:v>3.5</x:v>
      </x:c>
      <x:c r="H7" s="40" t="n">
        <x:f>IF(F7&gt;0,100/(F7+100),ABS(F7)/(ABS(F7)+100))</x:f>
        <x:v>0.2857142857142857</x:v>
      </x:c>
      <x:c r="I7" t="str">
        <x:v>Not identified</x:v>
      </x:c>
      <x:c r="J7" s="34" t="n">
        <x:v>45939</x:v>
      </x:c>
      <x:c r="K7" s="42" t="str">
        <x:v>https://www.sportsline.com/insiders/2025-south-point-400-odds-picks-projected-nascar-at-las-vegas-leaderboard-predictions-by-top-model/</x:v>
      </x:c>
      <x:c r="L7" s="42" t="str">
        <x:v>SportsLine excerpt quotes Top-3 market</x:v>
      </x:c>
    </x:row>
    <x:row r="8">
      <x:c r="A8" t="n">
        <x:v>2026</x:v>
      </x:c>
      <x:c r="B8" t="n">
        <x:v>1</x:v>
      </x:c>
      <x:c r="C8" s="34" t="n">
        <x:v>46068</x:v>
      </x:c>
      <x:c r="D8" s="42" t="str">
        <x:v>Daytona 500</x:v>
      </x:c>
      <x:c r="E8" s="42" t="str">
        <x:v>Ryan Blaney</x:v>
      </x:c>
      <x:c r="F8" s="36" t="n">
        <x:v>330</x:v>
      </x:c>
      <x:c r="G8" s="38" t="n">
        <x:f>IF(F8&gt;0,1+F8/100,1+100/ABS(F8))</x:f>
        <x:v>4.3</x:v>
      </x:c>
      <x:c r="H8" s="40" t="n">
        <x:f>IF(F8&gt;0,100/(F8+100),ABS(F8)/(ABS(F8)+100))</x:f>
        <x:v>0.23255813953488372</x:v>
      </x:c>
      <x:c r="I8" t="str">
        <x:v>Caesars</x:v>
      </x:c>
      <x:c r="J8" s="34" t="n">
        <x:v>46067</x:v>
      </x:c>
      <x:c r="K8" s="42" t="str">
        <x:v>https://www.cbssports.com/betting/news/how-to-bet-on-nascar-2026-daytona-500-betting-guide/</x:v>
      </x:c>
      <x:c r="L8" s="42" t="str">
        <x:v>Explicit Top-3 quote</x:v>
      </x:c>
    </x:row>
    <x:row r="9">
      <x:c r="A9" t="n">
        <x:v>2026</x:v>
      </x:c>
      <x:c r="B9" t="n">
        <x:v>1</x:v>
      </x:c>
      <x:c r="C9" s="34" t="n">
        <x:v>46068</x:v>
      </x:c>
      <x:c r="D9" s="42" t="str">
        <x:v>Daytona 500</x:v>
      </x:c>
      <x:c r="E9" s="42" t="str">
        <x:v>Joey Logano</x:v>
      </x:c>
      <x:c r="F9" s="36" t="n">
        <x:v>330</x:v>
      </x:c>
      <x:c r="G9" s="38" t="n">
        <x:f>IF(F9&gt;0,1+F9/100,1+100/ABS(F9))</x:f>
        <x:v>4.3</x:v>
      </x:c>
      <x:c r="H9" s="40" t="n">
        <x:f>IF(F9&gt;0,100/(F9+100),ABS(F9)/(ABS(F9)+100))</x:f>
        <x:v>0.23255813953488372</x:v>
      </x:c>
      <x:c r="I9" t="str">
        <x:v>Caesars</x:v>
      </x:c>
      <x:c r="J9" s="34" t="n">
        <x:v>46067</x:v>
      </x:c>
      <x:c r="K9" s="42" t="str">
        <x:v>https://www.cbssports.com/betting/news/how-to-bet-on-nascar-2026-daytona-500-betting-guide/</x:v>
      </x:c>
      <x:c r="L9" s="42" t="str">
        <x:v>Explicit Top-3 quote</x:v>
      </x:c>
    </x:row>
    <x:row r="10">
      <x:c r="A10" t="n">
        <x:v>2026</x:v>
      </x:c>
      <x:c r="B10" t="n">
        <x:v>1</x:v>
      </x:c>
      <x:c r="C10" s="34" t="n">
        <x:v>46068</x:v>
      </x:c>
      <x:c r="D10" s="42" t="str">
        <x:v>Daytona 500</x:v>
      </x:c>
      <x:c r="E10" s="42" t="str">
        <x:v>Chase Elliott</x:v>
      </x:c>
      <x:c r="F10" s="36" t="n">
        <x:v>330</x:v>
      </x:c>
      <x:c r="G10" s="38" t="n">
        <x:f>IF(F10&gt;0,1+F10/100,1+100/ABS(F10))</x:f>
        <x:v>4.3</x:v>
      </x:c>
      <x:c r="H10" s="40" t="n">
        <x:f>IF(F10&gt;0,100/(F10+100),ABS(F10)/(ABS(F10)+100))</x:f>
        <x:v>0.23255813953488372</x:v>
      </x:c>
      <x:c r="I10" t="str">
        <x:v>Caesars</x:v>
      </x:c>
      <x:c r="J10" s="34" t="n">
        <x:v>46067</x:v>
      </x:c>
      <x:c r="K10" s="42" t="str">
        <x:v>https://www.cbssports.com/betting/news/how-to-bet-on-nascar-2026-daytona-500-betting-guide/</x:v>
      </x:c>
      <x:c r="L10" s="42" t="str">
        <x:v>Explicit Top-3 quote</x:v>
      </x:c>
    </x:row>
    <x:row r="11">
      <x:c r="A11" t="n">
        <x:v>2026</x:v>
      </x:c>
      <x:c r="B11" t="n">
        <x:v>1</x:v>
      </x:c>
      <x:c r="C11" s="34" t="n">
        <x:v>46068</x:v>
      </x:c>
      <x:c r="D11" s="42" t="str">
        <x:v>Daytona 500</x:v>
      </x:c>
      <x:c r="E11" s="42" t="str">
        <x:v>Kyle Busch</x:v>
      </x:c>
      <x:c r="F11" s="36" t="n">
        <x:v>500</x:v>
      </x:c>
      <x:c r="G11" s="38" t="n">
        <x:f>IF(F11&gt;0,1+F11/100,1+100/ABS(F11))</x:f>
        <x:v>6</x:v>
      </x:c>
      <x:c r="H11" s="40" t="n">
        <x:f>IF(F11&gt;0,100/(F11+100),ABS(F11)/(ABS(F11)+100))</x:f>
        <x:v>0.16666666666666666</x:v>
      </x:c>
      <x:c r="I11" t="str">
        <x:v>Caesars</x:v>
      </x:c>
      <x:c r="J11" s="34" t="n">
        <x:v>46067</x:v>
      </x:c>
      <x:c r="K11" s="42" t="str">
        <x:v>https://www.cbssports.com/betting/news/how-to-bet-on-nascar-2026-daytona-500-betting-guide/</x:v>
      </x:c>
      <x:c r="L11" s="42" t="str">
        <x:v>Explicit Top-3 quote</x:v>
      </x:c>
    </x:row>
    <x:row r="12">
      <x:c r="A12" t="n">
        <x:v>2026</x:v>
      </x:c>
      <x:c r="B12" t="n">
        <x:v>1</x:v>
      </x:c>
      <x:c r="C12" s="34" t="n">
        <x:v>46068</x:v>
      </x:c>
      <x:c r="D12" s="42" t="str">
        <x:v>Daytona 500</x:v>
      </x:c>
      <x:c r="E12" s="42" t="str">
        <x:v>Denny Hamlin</x:v>
      </x:c>
      <x:c r="F12" s="36" t="n">
        <x:v>600</x:v>
      </x:c>
      <x:c r="G12" s="38" t="n">
        <x:f>IF(F12&gt;0,1+F12/100,1+100/ABS(F12))</x:f>
        <x:v>7</x:v>
      </x:c>
      <x:c r="H12" s="40" t="n">
        <x:f>IF(F12&gt;0,100/(F12+100),ABS(F12)/(ABS(F12)+100))</x:f>
        <x:v>0.14285714285714285</x:v>
      </x:c>
      <x:c r="I12" t="str">
        <x:v>Caesars</x:v>
      </x:c>
      <x:c r="J12" s="34" t="n">
        <x:v>46067</x:v>
      </x:c>
      <x:c r="K12" s="42" t="str">
        <x:v>https://www.cbssports.com/betting/news/how-to-bet-on-nascar-2026-daytona-500-betting-guide/</x:v>
      </x:c>
      <x:c r="L12" s="42" t="str">
        <x:v>Explicit Top-3 quote</x:v>
      </x:c>
    </x:row>
    <x:row r="13">
      <x:c r="A13" t="n">
        <x:v>2026</x:v>
      </x:c>
      <x:c r="B13" t="n">
        <x:v>2</x:v>
      </x:c>
      <x:c r="C13" s="34" t="n">
        <x:v>46075</x:v>
      </x:c>
      <x:c r="D13" s="42" t="str">
        <x:v>Autotrader 400</x:v>
      </x:c>
      <x:c r="E13" s="42" t="str">
        <x:v>Austin Cindric</x:v>
      </x:c>
      <x:c r="F13" s="36" t="n">
        <x:v>600</x:v>
      </x:c>
      <x:c r="G13" s="38" t="n">
        <x:f>IF(F13&gt;0,1+F13/100,1+100/ABS(F13))</x:f>
        <x:v>7</x:v>
      </x:c>
      <x:c r="H13" s="40" t="n">
        <x:f>IF(F13&gt;0,100/(F13+100),ABS(F13)/(ABS(F13)+100))</x:f>
        <x:v>0.14285714285714285</x:v>
      </x:c>
      <x:c r="I13" t="str">
        <x:v>theScore / bet365</x:v>
      </x:c>
      <x:c r="J13" s="34" t="n">
        <x:v>46075</x:v>
      </x:c>
      <x:c r="K13" s="42" t="str">
        <x:v>https://www.actionnetwork.com/nascar/nascar-odds-picks-predictions-echopark-expert-picks-autotrader-400-sun-feb-22</x:v>
      </x:c>
      <x:c r="L13" s="42" t="str">
        <x:v>Explicit Top-3 quote</x:v>
      </x:c>
    </x:row>
    <x:row r="14">
      <x:c r="A14" t="n">
        <x:v>2026</x:v>
      </x:c>
      <x:c r="B14" t="n">
        <x:v>2</x:v>
      </x:c>
      <x:c r="C14" s="34" t="n">
        <x:v>46075</x:v>
      </x:c>
      <x:c r="D14" s="42" t="str">
        <x:v>Autotrader 400</x:v>
      </x:c>
      <x:c r="E14" s="42" t="str">
        <x:v>Chris Buescher</x:v>
      </x:c>
      <x:c r="F14" s="36" t="n">
        <x:v>750</x:v>
      </x:c>
      <x:c r="G14" s="38" t="n">
        <x:f>IF(F14&gt;0,1+F14/100,1+100/ABS(F14))</x:f>
        <x:v>8.5</x:v>
      </x:c>
      <x:c r="H14" s="40" t="n">
        <x:f>IF(F14&gt;0,100/(F14+100),ABS(F14)/(ABS(F14)+100))</x:f>
        <x:v>0.11764705882352941</x:v>
      </x:c>
      <x:c r="I14" t="str">
        <x:v>Caesars</x:v>
      </x:c>
      <x:c r="J14" s="34" t="n">
        <x:v>46075</x:v>
      </x:c>
      <x:c r="K14" s="42" t="str">
        <x:v>https://www.actionnetwork.com/nascar/nascar-odds-picks-predictions-echopark-expert-picks-autotrader-400-sun-feb-22</x:v>
      </x:c>
      <x:c r="L14" s="42" t="str">
        <x:v>Explicit Top-3 quote</x:v>
      </x:c>
    </x:row>
  </x:sheetData>
  <x:pageMargins left="0.7" right="0.7" top="0.75" bottom="0.75" header="0.3" footer="0.3"/>
  <x:tableParts count="1">
    <x:tablePart xmlns:r="http://schemas.openxmlformats.org/officeDocument/2006/relationships" r:id="R7d1d6920005448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12" hidden="0" customWidth="1"/>
    <x:col min="4" max="4" width="30" hidden="0" customWidth="1"/>
    <x:col min="5" max="5" width="14" hidden="0" customWidth="1"/>
    <x:col min="6" max="6" width="22" hidden="0" customWidth="1"/>
    <x:col min="7" max="7" width="19" hidden="0" customWidth="1"/>
    <x:col min="8" max="8" width="34" hidden="0" customWidth="1"/>
  </x:cols>
  <x:sheetData>
    <x:row r="1" ht="30" customHeight="1">
      <x:c r="A1" s="6" t="str">
        <x:v>Season</x:v>
      </x:c>
      <x:c r="B1" s="6" t="str">
        <x:v>Race #</x:v>
      </x:c>
      <x:c r="C1" s="6" t="str">
        <x:v>Race Date</x:v>
      </x:c>
      <x:c r="D1" s="6" t="str">
        <x:v>Race</x:v>
      </x:c>
      <x:c r="E1" s="6" t="str">
        <x:v>Winner Price</x:v>
      </x:c>
      <x:c r="F1" s="6" t="str">
        <x:v>Outright Board in Source</x:v>
      </x:c>
      <x:c r="G1" s="6" t="str">
        <x:v>Verified Top-3 Quotes</x:v>
      </x:c>
      <x:c r="H1" s="6" t="str">
        <x:v>Top-3 Market Status</x:v>
      </x:c>
    </x:row>
    <x:row r="2">
      <x:c r="A2" t="n">
        <x:v>2025</x:v>
      </x:c>
      <x:c r="B2" t="n">
        <x:v>1</x:v>
      </x:c>
      <x:c r="C2" s="34" t="n">
        <x:v>45704</x:v>
      </x:c>
      <x:c r="D2" s="42" t="str">
        <x:v>Daytona 500</x:v>
      </x:c>
      <x:c r="E2" s="42" t="str">
        <x:v>Found</x:v>
      </x:c>
      <x:c r="F2" s="42" t="str">
        <x:v>Yes</x:v>
      </x:c>
      <x:c r="G2" s="42" t="n">
        <x:f>COUNTIFS(Top3_Archive_Hits!$A:$A,A2,Top3_Archive_Hits!$B:$B,B2)</x:f>
        <x:v>0</x:v>
      </x:c>
      <x:c r="H2" s="42" t="str">
        <x:f>IF(G2&gt;0,"Partial explicit quotes","No verified public Top-3 quote found")</x:f>
        <x:v>No verified public Top-3 quote found</x:v>
      </x:c>
    </x:row>
    <x:row r="3">
      <x:c r="A3" t="n">
        <x:v>2025</x:v>
      </x:c>
      <x:c r="B3" t="n">
        <x:v>2</x:v>
      </x:c>
      <x:c r="C3" s="34" t="n">
        <x:v>45711</x:v>
      </x:c>
      <x:c r="D3" s="42" t="str">
        <x:v>Ambetter Health 400</x:v>
      </x:c>
      <x:c r="E3" s="42" t="str">
        <x:v>Found</x:v>
      </x:c>
      <x:c r="F3" s="42" t="str">
        <x:v>Yes</x:v>
      </x:c>
      <x:c r="G3" s="42" t="n">
        <x:f>COUNTIFS(Top3_Archive_Hits!$A:$A,A3,Top3_Archive_Hits!$B:$B,B3)</x:f>
        <x:v>1</x:v>
      </x:c>
      <x:c r="H3" s="42" t="str">
        <x:f>IF(G3&gt;0,"Partial explicit quotes","No verified public Top-3 quote found")</x:f>
        <x:v>Partial explicit quotes</x:v>
      </x:c>
    </x:row>
    <x:row r="4">
      <x:c r="A4" t="n">
        <x:v>2025</x:v>
      </x:c>
      <x:c r="B4" t="n">
        <x:v>3</x:v>
      </x:c>
      <x:c r="C4" s="34" t="n">
        <x:v>45718</x:v>
      </x:c>
      <x:c r="D4" s="42" t="str">
        <x:v>EchoPark Automotive Grand Prix</x:v>
      </x:c>
      <x:c r="E4" s="42" t="str">
        <x:v>Found</x:v>
      </x:c>
      <x:c r="F4" s="42" t="str">
        <x:v>Yes</x:v>
      </x:c>
      <x:c r="G4" s="42" t="n">
        <x:f>COUNTIFS(Top3_Archive_Hits!$A:$A,A4,Top3_Archive_Hits!$B:$B,B4)</x:f>
        <x:v>0</x:v>
      </x:c>
      <x:c r="H4" s="42" t="str">
        <x:f>IF(G4&gt;0,"Partial explicit quotes","No verified public Top-3 quote found")</x:f>
        <x:v>No verified public Top-3 quote found</x:v>
      </x:c>
    </x:row>
    <x:row r="5">
      <x:c r="A5" t="n">
        <x:v>2025</x:v>
      </x:c>
      <x:c r="B5" t="n">
        <x:v>4</x:v>
      </x:c>
      <x:c r="C5" s="34" t="n">
        <x:v>45725</x:v>
      </x:c>
      <x:c r="D5" s="42" t="str">
        <x:v>Shriners Children's 500</x:v>
      </x:c>
      <x:c r="E5" s="42" t="str">
        <x:v>Found</x:v>
      </x:c>
      <x:c r="F5" s="42" t="str">
        <x:v>Yes</x:v>
      </x:c>
      <x:c r="G5" s="42" t="n">
        <x:f>COUNTIFS(Top3_Archive_Hits!$A:$A,A5,Top3_Archive_Hits!$B:$B,B5)</x:f>
        <x:v>0</x:v>
      </x:c>
      <x:c r="H5" s="42" t="str">
        <x:f>IF(G5&gt;0,"Partial explicit quotes","No verified public Top-3 quote found")</x:f>
        <x:v>No verified public Top-3 quote found</x:v>
      </x:c>
    </x:row>
    <x:row r="6">
      <x:c r="A6" t="n">
        <x:v>2025</x:v>
      </x:c>
      <x:c r="B6" t="n">
        <x:v>5</x:v>
      </x:c>
      <x:c r="C6" s="34" t="n">
        <x:v>45732</x:v>
      </x:c>
      <x:c r="D6" s="42" t="str">
        <x:v>Pennzoil 400</x:v>
      </x:c>
      <x:c r="E6" s="42" t="str">
        <x:v>Found</x:v>
      </x:c>
      <x:c r="F6" s="42" t="str">
        <x:v>Yes</x:v>
      </x:c>
      <x:c r="G6" s="42" t="n">
        <x:f>COUNTIFS(Top3_Archive_Hits!$A:$A,A6,Top3_Archive_Hits!$B:$B,B6)</x:f>
        <x:v>0</x:v>
      </x:c>
      <x:c r="H6" s="42" t="str">
        <x:f>IF(G6&gt;0,"Partial explicit quotes","No verified public Top-3 quote found")</x:f>
        <x:v>No verified public Top-3 quote found</x:v>
      </x:c>
    </x:row>
    <x:row r="7">
      <x:c r="A7" t="n">
        <x:v>2025</x:v>
      </x:c>
      <x:c r="B7" t="n">
        <x:v>6</x:v>
      </x:c>
      <x:c r="C7" s="34" t="n">
        <x:v>45739</x:v>
      </x:c>
      <x:c r="D7" s="42" t="str">
        <x:v>Straight Talk Wireless 400</x:v>
      </x:c>
      <x:c r="E7" s="42" t="str">
        <x:v>Found</x:v>
      </x:c>
      <x:c r="F7" s="42" t="str">
        <x:v>Yes</x:v>
      </x:c>
      <x:c r="G7" s="42" t="n">
        <x:f>COUNTIFS(Top3_Archive_Hits!$A:$A,A7,Top3_Archive_Hits!$B:$B,B7)</x:f>
        <x:v>0</x:v>
      </x:c>
      <x:c r="H7" s="42" t="str">
        <x:f>IF(G7&gt;0,"Partial explicit quotes","No verified public Top-3 quote found")</x:f>
        <x:v>No verified public Top-3 quote found</x:v>
      </x:c>
    </x:row>
    <x:row r="8">
      <x:c r="A8" t="n">
        <x:v>2025</x:v>
      </x:c>
      <x:c r="B8" t="n">
        <x:v>7</x:v>
      </x:c>
      <x:c r="C8" s="34" t="n">
        <x:v>45746</x:v>
      </x:c>
      <x:c r="D8" s="42" t="str">
        <x:v>Cook Out 400</x:v>
      </x:c>
      <x:c r="E8" s="42" t="str">
        <x:v>Found</x:v>
      </x:c>
      <x:c r="F8" s="42" t="str">
        <x:v>Yes</x:v>
      </x:c>
      <x:c r="G8" s="42" t="n">
        <x:f>COUNTIFS(Top3_Archive_Hits!$A:$A,A8,Top3_Archive_Hits!$B:$B,B8)</x:f>
        <x:v>0</x:v>
      </x:c>
      <x:c r="H8" s="42" t="str">
        <x:f>IF(G8&gt;0,"Partial explicit quotes","No verified public Top-3 quote found")</x:f>
        <x:v>No verified public Top-3 quote found</x:v>
      </x:c>
    </x:row>
    <x:row r="9">
      <x:c r="A9" t="n">
        <x:v>2025</x:v>
      </x:c>
      <x:c r="B9" t="n">
        <x:v>8</x:v>
      </x:c>
      <x:c r="C9" s="34" t="n">
        <x:v>45753</x:v>
      </x:c>
      <x:c r="D9" s="42" t="str">
        <x:v>Goodyear 400</x:v>
      </x:c>
      <x:c r="E9" s="42" t="str">
        <x:v>Found</x:v>
      </x:c>
      <x:c r="F9" s="42" t="str">
        <x:v>Yes</x:v>
      </x:c>
      <x:c r="G9" s="42" t="n">
        <x:f>COUNTIFS(Top3_Archive_Hits!$A:$A,A9,Top3_Archive_Hits!$B:$B,B9)</x:f>
        <x:v>0</x:v>
      </x:c>
      <x:c r="H9" s="42" t="str">
        <x:f>IF(G9&gt;0,"Partial explicit quotes","No verified public Top-3 quote found")</x:f>
        <x:v>No verified public Top-3 quote found</x:v>
      </x:c>
    </x:row>
    <x:row r="10">
      <x:c r="A10" t="n">
        <x:v>2025</x:v>
      </x:c>
      <x:c r="B10" t="n">
        <x:v>9</x:v>
      </x:c>
      <x:c r="C10" s="34" t="n">
        <x:v>45760</x:v>
      </x:c>
      <x:c r="D10" s="42" t="str">
        <x:v>Food City 500</x:v>
      </x:c>
      <x:c r="E10" s="42" t="str">
        <x:v>Found</x:v>
      </x:c>
      <x:c r="F10" s="42" t="str">
        <x:v>Yes</x:v>
      </x:c>
      <x:c r="G10" s="42" t="n">
        <x:f>COUNTIFS(Top3_Archive_Hits!$A:$A,A10,Top3_Archive_Hits!$B:$B,B10)</x:f>
        <x:v>0</x:v>
      </x:c>
      <x:c r="H10" s="42" t="str">
        <x:f>IF(G10&gt;0,"Partial explicit quotes","No verified public Top-3 quote found")</x:f>
        <x:v>No verified public Top-3 quote found</x:v>
      </x:c>
    </x:row>
    <x:row r="11">
      <x:c r="A11" t="n">
        <x:v>2025</x:v>
      </x:c>
      <x:c r="B11" t="n">
        <x:v>10</x:v>
      </x:c>
      <x:c r="C11" s="34" t="n">
        <x:v>45774</x:v>
      </x:c>
      <x:c r="D11" s="42" t="str">
        <x:v>Jack Link's 500</x:v>
      </x:c>
      <x:c r="E11" s="42" t="str">
        <x:v>Found</x:v>
      </x:c>
      <x:c r="F11" s="42" t="str">
        <x:v>Yes</x:v>
      </x:c>
      <x:c r="G11" s="42" t="n">
        <x:f>COUNTIFS(Top3_Archive_Hits!$A:$A,A11,Top3_Archive_Hits!$B:$B,B11)</x:f>
        <x:v>0</x:v>
      </x:c>
      <x:c r="H11" s="42" t="str">
        <x:f>IF(G11&gt;0,"Partial explicit quotes","No verified public Top-3 quote found")</x:f>
        <x:v>No verified public Top-3 quote found</x:v>
      </x:c>
    </x:row>
    <x:row r="12">
      <x:c r="A12" t="n">
        <x:v>2025</x:v>
      </x:c>
      <x:c r="B12" t="n">
        <x:v>11</x:v>
      </x:c>
      <x:c r="C12" s="34" t="n">
        <x:v>45781</x:v>
      </x:c>
      <x:c r="D12" s="42" t="str">
        <x:v>Würth 400</x:v>
      </x:c>
      <x:c r="E12" s="42" t="str">
        <x:v>Found</x:v>
      </x:c>
      <x:c r="F12" s="42" t="str">
        <x:v>Yes</x:v>
      </x:c>
      <x:c r="G12" s="42" t="n">
        <x:f>COUNTIFS(Top3_Archive_Hits!$A:$A,A12,Top3_Archive_Hits!$B:$B,B12)</x:f>
        <x:v>0</x:v>
      </x:c>
      <x:c r="H12" s="42" t="str">
        <x:f>IF(G12&gt;0,"Partial explicit quotes","No verified public Top-3 quote found")</x:f>
        <x:v>No verified public Top-3 quote found</x:v>
      </x:c>
    </x:row>
    <x:row r="13">
      <x:c r="A13" t="n">
        <x:v>2025</x:v>
      </x:c>
      <x:c r="B13" t="n">
        <x:v>12</x:v>
      </x:c>
      <x:c r="C13" s="34" t="n">
        <x:v>45788</x:v>
      </x:c>
      <x:c r="D13" s="42" t="str">
        <x:v>AdventHealth 400</x:v>
      </x:c>
      <x:c r="E13" s="42" t="str">
        <x:v>Found</x:v>
      </x:c>
      <x:c r="F13" s="42" t="str">
        <x:v>Yes</x:v>
      </x:c>
      <x:c r="G13" s="42" t="n">
        <x:f>COUNTIFS(Top3_Archive_Hits!$A:$A,A13,Top3_Archive_Hits!$B:$B,B13)</x:f>
        <x:v>1</x:v>
      </x:c>
      <x:c r="H13" s="42" t="str">
        <x:f>IF(G13&gt;0,"Partial explicit quotes","No verified public Top-3 quote found")</x:f>
        <x:v>Partial explicit quotes</x:v>
      </x:c>
    </x:row>
    <x:row r="14">
      <x:c r="A14" t="n">
        <x:v>2025</x:v>
      </x:c>
      <x:c r="B14" t="n">
        <x:v>13</x:v>
      </x:c>
      <x:c r="C14" s="34" t="n">
        <x:v>45802</x:v>
      </x:c>
      <x:c r="D14" s="42" t="str">
        <x:v>Coca-Cola 600</x:v>
      </x:c>
      <x:c r="E14" s="42" t="str">
        <x:v>Found</x:v>
      </x:c>
      <x:c r="F14" s="42" t="str">
        <x:v>Yes</x:v>
      </x:c>
      <x:c r="G14" s="42" t="n">
        <x:f>COUNTIFS(Top3_Archive_Hits!$A:$A,A14,Top3_Archive_Hits!$B:$B,B14)</x:f>
        <x:v>1</x:v>
      </x:c>
      <x:c r="H14" s="42" t="str">
        <x:f>IF(G14&gt;0,"Partial explicit quotes","No verified public Top-3 quote found")</x:f>
        <x:v>Partial explicit quotes</x:v>
      </x:c>
    </x:row>
    <x:row r="15">
      <x:c r="A15" t="n">
        <x:v>2025</x:v>
      </x:c>
      <x:c r="B15" t="n">
        <x:v>14</x:v>
      </x:c>
      <x:c r="C15" s="34" t="n">
        <x:v>45809</x:v>
      </x:c>
      <x:c r="D15" s="42" t="str">
        <x:v>Cracker Barrel 400</x:v>
      </x:c>
      <x:c r="E15" s="42" t="str">
        <x:v>Found</x:v>
      </x:c>
      <x:c r="F15" s="42" t="str">
        <x:v>Yes</x:v>
      </x:c>
      <x:c r="G15" s="42" t="n">
        <x:f>COUNTIFS(Top3_Archive_Hits!$A:$A,A15,Top3_Archive_Hits!$B:$B,B15)</x:f>
        <x:v>0</x:v>
      </x:c>
      <x:c r="H15" s="42" t="str">
        <x:f>IF(G15&gt;0,"Partial explicit quotes","No verified public Top-3 quote found")</x:f>
        <x:v>No verified public Top-3 quote found</x:v>
      </x:c>
    </x:row>
    <x:row r="16">
      <x:c r="A16" t="n">
        <x:v>2025</x:v>
      </x:c>
      <x:c r="B16" t="n">
        <x:v>15</x:v>
      </x:c>
      <x:c r="C16" s="34" t="n">
        <x:v>45816</x:v>
      </x:c>
      <x:c r="D16" s="42" t="str">
        <x:v>FireKeepers Casino 400</x:v>
      </x:c>
      <x:c r="E16" s="42" t="str">
        <x:v>Found</x:v>
      </x:c>
      <x:c r="F16" s="42" t="str">
        <x:v>Yes</x:v>
      </x:c>
      <x:c r="G16" s="42" t="n">
        <x:f>COUNTIFS(Top3_Archive_Hits!$A:$A,A16,Top3_Archive_Hits!$B:$B,B16)</x:f>
        <x:v>0</x:v>
      </x:c>
      <x:c r="H16" s="42" t="str">
        <x:f>IF(G16&gt;0,"Partial explicit quotes","No verified public Top-3 quote found")</x:f>
        <x:v>No verified public Top-3 quote found</x:v>
      </x:c>
    </x:row>
    <x:row r="17">
      <x:c r="A17" t="n">
        <x:v>2025</x:v>
      </x:c>
      <x:c r="B17" t="n">
        <x:v>16</x:v>
      </x:c>
      <x:c r="C17" s="34" t="n">
        <x:v>45823</x:v>
      </x:c>
      <x:c r="D17" s="42" t="str">
        <x:v>Viva México 250</x:v>
      </x:c>
      <x:c r="E17" s="42" t="str">
        <x:v>Found</x:v>
      </x:c>
      <x:c r="F17" s="42" t="str">
        <x:v>Yes</x:v>
      </x:c>
      <x:c r="G17" s="42" t="n">
        <x:f>COUNTIFS(Top3_Archive_Hits!$A:$A,A17,Top3_Archive_Hits!$B:$B,B17)</x:f>
        <x:v>0</x:v>
      </x:c>
      <x:c r="H17" s="42" t="str">
        <x:f>IF(G17&gt;0,"Partial explicit quotes","No verified public Top-3 quote found")</x:f>
        <x:v>No verified public Top-3 quote found</x:v>
      </x:c>
    </x:row>
    <x:row r="18">
      <x:c r="A18" t="n">
        <x:v>2025</x:v>
      </x:c>
      <x:c r="B18" t="n">
        <x:v>17</x:v>
      </x:c>
      <x:c r="C18" s="34" t="n">
        <x:v>45830</x:v>
      </x:c>
      <x:c r="D18" s="42" t="str">
        <x:v>The Great American Getaway 400</x:v>
      </x:c>
      <x:c r="E18" s="42" t="str">
        <x:v>Found</x:v>
      </x:c>
      <x:c r="F18" s="42" t="str">
        <x:v>Yes</x:v>
      </x:c>
      <x:c r="G18" s="42" t="n">
        <x:f>COUNTIFS(Top3_Archive_Hits!$A:$A,A18,Top3_Archive_Hits!$B:$B,B18)</x:f>
        <x:v>0</x:v>
      </x:c>
      <x:c r="H18" s="42" t="str">
        <x:f>IF(G18&gt;0,"Partial explicit quotes","No verified public Top-3 quote found")</x:f>
        <x:v>No verified public Top-3 quote found</x:v>
      </x:c>
    </x:row>
    <x:row r="19">
      <x:c r="A19" t="n">
        <x:v>2025</x:v>
      </x:c>
      <x:c r="B19" t="n">
        <x:v>18</x:v>
      </x:c>
      <x:c r="C19" s="34" t="n">
        <x:v>45836</x:v>
      </x:c>
      <x:c r="D19" s="42" t="str">
        <x:v>Quaker State 400</x:v>
      </x:c>
      <x:c r="E19" s="42" t="str">
        <x:v>Found</x:v>
      </x:c>
      <x:c r="F19" s="42" t="str">
        <x:v>Yes</x:v>
      </x:c>
      <x:c r="G19" s="42" t="n">
        <x:f>COUNTIFS(Top3_Archive_Hits!$A:$A,A19,Top3_Archive_Hits!$B:$B,B19)</x:f>
        <x:v>0</x:v>
      </x:c>
      <x:c r="H19" s="42" t="str">
        <x:f>IF(G19&gt;0,"Partial explicit quotes","No verified public Top-3 quote found")</x:f>
        <x:v>No verified public Top-3 quote found</x:v>
      </x:c>
    </x:row>
    <x:row r="20">
      <x:c r="A20" t="n">
        <x:v>2025</x:v>
      </x:c>
      <x:c r="B20" t="n">
        <x:v>19</x:v>
      </x:c>
      <x:c r="C20" s="34" t="n">
        <x:v>45844</x:v>
      </x:c>
      <x:c r="D20" s="42" t="str">
        <x:v>Grant Park 165</x:v>
      </x:c>
      <x:c r="E20" s="42" t="str">
        <x:v>Found</x:v>
      </x:c>
      <x:c r="F20" s="42" t="str">
        <x:v>Yes</x:v>
      </x:c>
      <x:c r="G20" s="42" t="n">
        <x:f>COUNTIFS(Top3_Archive_Hits!$A:$A,A20,Top3_Archive_Hits!$B:$B,B20)</x:f>
        <x:v>0</x:v>
      </x:c>
      <x:c r="H20" s="42" t="str">
        <x:f>IF(G20&gt;0,"Partial explicit quotes","No verified public Top-3 quote found")</x:f>
        <x:v>No verified public Top-3 quote found</x:v>
      </x:c>
    </x:row>
    <x:row r="21">
      <x:c r="A21" t="n">
        <x:v>2025</x:v>
      </x:c>
      <x:c r="B21" t="n">
        <x:v>20</x:v>
      </x:c>
      <x:c r="C21" s="34" t="n">
        <x:v>45851</x:v>
      </x:c>
      <x:c r="D21" s="42" t="str">
        <x:v>Toyota/Save Mart 350</x:v>
      </x:c>
      <x:c r="E21" s="42" t="str">
        <x:v>Found</x:v>
      </x:c>
      <x:c r="F21" s="42" t="str">
        <x:v>Yes</x:v>
      </x:c>
      <x:c r="G21" s="42" t="n">
        <x:f>COUNTIFS(Top3_Archive_Hits!$A:$A,A21,Top3_Archive_Hits!$B:$B,B21)</x:f>
        <x:v>0</x:v>
      </x:c>
      <x:c r="H21" s="42" t="str">
        <x:f>IF(G21&gt;0,"Partial explicit quotes","No verified public Top-3 quote found")</x:f>
        <x:v>No verified public Top-3 quote found</x:v>
      </x:c>
    </x:row>
    <x:row r="22">
      <x:c r="A22" t="n">
        <x:v>2025</x:v>
      </x:c>
      <x:c r="B22" t="n">
        <x:v>21</x:v>
      </x:c>
      <x:c r="C22" s="34" t="n">
        <x:v>45858</x:v>
      </x:c>
      <x:c r="D22" s="42" t="str">
        <x:v>Autotrader EchoPark Automotive 400</x:v>
      </x:c>
      <x:c r="E22" s="42" t="str">
        <x:v>Found</x:v>
      </x:c>
      <x:c r="F22" s="42" t="str">
        <x:v>Yes</x:v>
      </x:c>
      <x:c r="G22" s="42" t="n">
        <x:f>COUNTIFS(Top3_Archive_Hits!$A:$A,A22,Top3_Archive_Hits!$B:$B,B22)</x:f>
        <x:v>0</x:v>
      </x:c>
      <x:c r="H22" s="42" t="str">
        <x:f>IF(G22&gt;0,"Partial explicit quotes","No verified public Top-3 quote found")</x:f>
        <x:v>No verified public Top-3 quote found</x:v>
      </x:c>
    </x:row>
    <x:row r="23">
      <x:c r="A23" t="n">
        <x:v>2025</x:v>
      </x:c>
      <x:c r="B23" t="n">
        <x:v>22</x:v>
      </x:c>
      <x:c r="C23" s="34" t="n">
        <x:v>45865</x:v>
      </x:c>
      <x:c r="D23" s="42" t="str">
        <x:v>Brickyard 400</x:v>
      </x:c>
      <x:c r="E23" s="42" t="str">
        <x:v>Found</x:v>
      </x:c>
      <x:c r="F23" s="42" t="str">
        <x:v>Yes</x:v>
      </x:c>
      <x:c r="G23" s="42" t="n">
        <x:f>COUNTIFS(Top3_Archive_Hits!$A:$A,A23,Top3_Archive_Hits!$B:$B,B23)</x:f>
        <x:v>0</x:v>
      </x:c>
      <x:c r="H23" s="42" t="str">
        <x:f>IF(G23&gt;0,"Partial explicit quotes","No verified public Top-3 quote found")</x:f>
        <x:v>No verified public Top-3 quote found</x:v>
      </x:c>
    </x:row>
    <x:row r="24">
      <x:c r="A24" t="n">
        <x:v>2025</x:v>
      </x:c>
      <x:c r="B24" t="n">
        <x:v>23</x:v>
      </x:c>
      <x:c r="C24" s="34" t="n">
        <x:v>45872</x:v>
      </x:c>
      <x:c r="D24" s="42" t="str">
        <x:v>Iowa Corn 350</x:v>
      </x:c>
      <x:c r="E24" s="42" t="str">
        <x:v>Found</x:v>
      </x:c>
      <x:c r="F24" s="42" t="str">
        <x:v>Yes</x:v>
      </x:c>
      <x:c r="G24" s="42" t="n">
        <x:f>COUNTIFS(Top3_Archive_Hits!$A:$A,A24,Top3_Archive_Hits!$B:$B,B24)</x:f>
        <x:v>0</x:v>
      </x:c>
      <x:c r="H24" s="42" t="str">
        <x:f>IF(G24&gt;0,"Partial explicit quotes","No verified public Top-3 quote found")</x:f>
        <x:v>No verified public Top-3 quote found</x:v>
      </x:c>
    </x:row>
    <x:row r="25">
      <x:c r="A25" t="n">
        <x:v>2025</x:v>
      </x:c>
      <x:c r="B25" t="n">
        <x:v>24</x:v>
      </x:c>
      <x:c r="C25" s="34" t="n">
        <x:v>45879</x:v>
      </x:c>
      <x:c r="D25" s="42" t="str">
        <x:v>Go Bowling at The Glen</x:v>
      </x:c>
      <x:c r="E25" s="42" t="str">
        <x:v>Found</x:v>
      </x:c>
      <x:c r="F25" s="42" t="str">
        <x:v>Yes</x:v>
      </x:c>
      <x:c r="G25" s="42" t="n">
        <x:f>COUNTIFS(Top3_Archive_Hits!$A:$A,A25,Top3_Archive_Hits!$B:$B,B25)</x:f>
        <x:v>0</x:v>
      </x:c>
      <x:c r="H25" s="42" t="str">
        <x:f>IF(G25&gt;0,"Partial explicit quotes","No verified public Top-3 quote found")</x:f>
        <x:v>No verified public Top-3 quote found</x:v>
      </x:c>
    </x:row>
    <x:row r="26">
      <x:c r="A26" t="n">
        <x:v>2025</x:v>
      </x:c>
      <x:c r="B26" t="n">
        <x:v>25</x:v>
      </x:c>
      <x:c r="C26" s="34" t="n">
        <x:v>45885</x:v>
      </x:c>
      <x:c r="D26" s="42" t="str">
        <x:v>Cook Out 400</x:v>
      </x:c>
      <x:c r="E26" s="42" t="str">
        <x:v>Found</x:v>
      </x:c>
      <x:c r="F26" s="42" t="str">
        <x:v>Yes</x:v>
      </x:c>
      <x:c r="G26" s="42" t="n">
        <x:f>COUNTIFS(Top3_Archive_Hits!$A:$A,A26,Top3_Archive_Hits!$B:$B,B26)</x:f>
        <x:v>0</x:v>
      </x:c>
      <x:c r="H26" s="42" t="str">
        <x:f>IF(G26&gt;0,"Partial explicit quotes","No verified public Top-3 quote found")</x:f>
        <x:v>No verified public Top-3 quote found</x:v>
      </x:c>
    </x:row>
    <x:row r="27">
      <x:c r="A27" t="n">
        <x:v>2025</x:v>
      </x:c>
      <x:c r="B27" t="n">
        <x:v>26</x:v>
      </x:c>
      <x:c r="C27" s="34" t="n">
        <x:v>45892</x:v>
      </x:c>
      <x:c r="D27" s="42" t="str">
        <x:v>Coke Zero Sugar 400</x:v>
      </x:c>
      <x:c r="E27" s="42" t="str">
        <x:v>Found</x:v>
      </x:c>
      <x:c r="F27" s="42" t="str">
        <x:v>Yes</x:v>
      </x:c>
      <x:c r="G27" s="42" t="n">
        <x:f>COUNTIFS(Top3_Archive_Hits!$A:$A,A27,Top3_Archive_Hits!$B:$B,B27)</x:f>
        <x:v>0</x:v>
      </x:c>
      <x:c r="H27" s="42" t="str">
        <x:f>IF(G27&gt;0,"Partial explicit quotes","No verified public Top-3 quote found")</x:f>
        <x:v>No verified public Top-3 quote found</x:v>
      </x:c>
    </x:row>
    <x:row r="28">
      <x:c r="A28" t="n">
        <x:v>2025</x:v>
      </x:c>
      <x:c r="B28" t="n">
        <x:v>27</x:v>
      </x:c>
      <x:c r="C28" s="34" t="n">
        <x:v>45900</x:v>
      </x:c>
      <x:c r="D28" s="42" t="str">
        <x:v>Cook Out Southern 500</x:v>
      </x:c>
      <x:c r="E28" s="42" t="str">
        <x:v>Found</x:v>
      </x:c>
      <x:c r="F28" s="42" t="str">
        <x:v>Yes</x:v>
      </x:c>
      <x:c r="G28" s="42" t="n">
        <x:f>COUNTIFS(Top3_Archive_Hits!$A:$A,A28,Top3_Archive_Hits!$B:$B,B28)</x:f>
        <x:v>0</x:v>
      </x:c>
      <x:c r="H28" s="42" t="str">
        <x:f>IF(G28&gt;0,"Partial explicit quotes","No verified public Top-3 quote found")</x:f>
        <x:v>No verified public Top-3 quote found</x:v>
      </x:c>
    </x:row>
    <x:row r="29">
      <x:c r="A29" t="n">
        <x:v>2025</x:v>
      </x:c>
      <x:c r="B29" t="n">
        <x:v>28</x:v>
      </x:c>
      <x:c r="C29" s="34" t="n">
        <x:v>45907</x:v>
      </x:c>
      <x:c r="D29" s="42" t="str">
        <x:v>Enjoy Illinois 300</x:v>
      </x:c>
      <x:c r="E29" s="42" t="str">
        <x:v>Found</x:v>
      </x:c>
      <x:c r="F29" s="42" t="str">
        <x:v>Yes</x:v>
      </x:c>
      <x:c r="G29" s="42" t="n">
        <x:f>COUNTIFS(Top3_Archive_Hits!$A:$A,A29,Top3_Archive_Hits!$B:$B,B29)</x:f>
        <x:v>0</x:v>
      </x:c>
      <x:c r="H29" s="42" t="str">
        <x:f>IF(G29&gt;0,"Partial explicit quotes","No verified public Top-3 quote found")</x:f>
        <x:v>No verified public Top-3 quote found</x:v>
      </x:c>
    </x:row>
    <x:row r="30">
      <x:c r="A30" t="n">
        <x:v>2025</x:v>
      </x:c>
      <x:c r="B30" t="n">
        <x:v>29</x:v>
      </x:c>
      <x:c r="C30" s="34" t="n">
        <x:v>45913</x:v>
      </x:c>
      <x:c r="D30" s="42" t="str">
        <x:v>Bass Pro Shops Night Race</x:v>
      </x:c>
      <x:c r="E30" s="42" t="str">
        <x:v>Found</x:v>
      </x:c>
      <x:c r="F30" s="42" t="str">
        <x:v>Yes</x:v>
      </x:c>
      <x:c r="G30" s="42" t="n">
        <x:f>COUNTIFS(Top3_Archive_Hits!$A:$A,A30,Top3_Archive_Hits!$B:$B,B30)</x:f>
        <x:v>0</x:v>
      </x:c>
      <x:c r="H30" s="42" t="str">
        <x:f>IF(G30&gt;0,"Partial explicit quotes","No verified public Top-3 quote found")</x:f>
        <x:v>No verified public Top-3 quote found</x:v>
      </x:c>
    </x:row>
    <x:row r="31">
      <x:c r="A31" t="n">
        <x:v>2025</x:v>
      </x:c>
      <x:c r="B31" t="n">
        <x:v>30</x:v>
      </x:c>
      <x:c r="C31" s="34" t="n">
        <x:v>45921</x:v>
      </x:c>
      <x:c r="D31" s="42" t="str">
        <x:v>Mobil 1 301</x:v>
      </x:c>
      <x:c r="E31" s="42" t="str">
        <x:v>Found</x:v>
      </x:c>
      <x:c r="F31" s="42" t="str">
        <x:v>Yes</x:v>
      </x:c>
      <x:c r="G31" s="42" t="n">
        <x:f>COUNTIFS(Top3_Archive_Hits!$A:$A,A31,Top3_Archive_Hits!$B:$B,B31)</x:f>
        <x:v>1</x:v>
      </x:c>
      <x:c r="H31" s="42" t="str">
        <x:f>IF(G31&gt;0,"Partial explicit quotes","No verified public Top-3 quote found")</x:f>
        <x:v>Partial explicit quotes</x:v>
      </x:c>
    </x:row>
    <x:row r="32">
      <x:c r="A32" t="n">
        <x:v>2025</x:v>
      </x:c>
      <x:c r="B32" t="n">
        <x:v>31</x:v>
      </x:c>
      <x:c r="C32" s="34" t="n">
        <x:v>45928</x:v>
      </x:c>
      <x:c r="D32" s="42" t="str">
        <x:v>Hollywood Casino 400</x:v>
      </x:c>
      <x:c r="E32" s="42" t="str">
        <x:v>Found</x:v>
      </x:c>
      <x:c r="F32" s="42" t="str">
        <x:v>Yes</x:v>
      </x:c>
      <x:c r="G32" s="42" t="n">
        <x:f>COUNTIFS(Top3_Archive_Hits!$A:$A,A32,Top3_Archive_Hits!$B:$B,B32)</x:f>
        <x:v>0</x:v>
      </x:c>
      <x:c r="H32" s="42" t="str">
        <x:f>IF(G32&gt;0,"Partial explicit quotes","No verified public Top-3 quote found")</x:f>
        <x:v>No verified public Top-3 quote found</x:v>
      </x:c>
    </x:row>
    <x:row r="33">
      <x:c r="A33" t="n">
        <x:v>2025</x:v>
      </x:c>
      <x:c r="B33" t="n">
        <x:v>32</x:v>
      </x:c>
      <x:c r="C33" s="34" t="n">
        <x:v>45935</x:v>
      </x:c>
      <x:c r="D33" s="42" t="str">
        <x:v>Bank of America ROVAL 400</x:v>
      </x:c>
      <x:c r="E33" s="42" t="str">
        <x:v>Found</x:v>
      </x:c>
      <x:c r="F33" s="42" t="str">
        <x:v>Yes</x:v>
      </x:c>
      <x:c r="G33" s="42" t="n">
        <x:f>COUNTIFS(Top3_Archive_Hits!$A:$A,A33,Top3_Archive_Hits!$B:$B,B33)</x:f>
        <x:v>1</x:v>
      </x:c>
      <x:c r="H33" s="42" t="str">
        <x:f>IF(G33&gt;0,"Partial explicit quotes","No verified public Top-3 quote found")</x:f>
        <x:v>Partial explicit quotes</x:v>
      </x:c>
    </x:row>
    <x:row r="34">
      <x:c r="A34" t="n">
        <x:v>2025</x:v>
      </x:c>
      <x:c r="B34" t="n">
        <x:v>33</x:v>
      </x:c>
      <x:c r="C34" s="34" t="n">
        <x:v>45942</x:v>
      </x:c>
      <x:c r="D34" s="42" t="str">
        <x:v>South Point 400</x:v>
      </x:c>
      <x:c r="E34" s="42" t="str">
        <x:v>Found</x:v>
      </x:c>
      <x:c r="F34" s="42" t="str">
        <x:v>Yes</x:v>
      </x:c>
      <x:c r="G34" s="42" t="n">
        <x:f>COUNTIFS(Top3_Archive_Hits!$A:$A,A34,Top3_Archive_Hits!$B:$B,B34)</x:f>
        <x:v>1</x:v>
      </x:c>
      <x:c r="H34" s="42" t="str">
        <x:f>IF(G34&gt;0,"Partial explicit quotes","No verified public Top-3 quote found")</x:f>
        <x:v>Partial explicit quotes</x:v>
      </x:c>
    </x:row>
    <x:row r="35">
      <x:c r="A35" t="n">
        <x:v>2025</x:v>
      </x:c>
      <x:c r="B35" t="n">
        <x:v>34</x:v>
      </x:c>
      <x:c r="C35" s="34" t="n">
        <x:v>45949</x:v>
      </x:c>
      <x:c r="D35" s="42" t="str">
        <x:v>YellaWood 500</x:v>
      </x:c>
      <x:c r="E35" s="42" t="str">
        <x:v>Found</x:v>
      </x:c>
      <x:c r="F35" s="42" t="str">
        <x:v>Yes</x:v>
      </x:c>
      <x:c r="G35" s="42" t="n">
        <x:f>COUNTIFS(Top3_Archive_Hits!$A:$A,A35,Top3_Archive_Hits!$B:$B,B35)</x:f>
        <x:v>0</x:v>
      </x:c>
      <x:c r="H35" s="42" t="str">
        <x:f>IF(G35&gt;0,"Partial explicit quotes","No verified public Top-3 quote found")</x:f>
        <x:v>No verified public Top-3 quote found</x:v>
      </x:c>
    </x:row>
    <x:row r="36">
      <x:c r="A36" t="n">
        <x:v>2025</x:v>
      </x:c>
      <x:c r="B36" t="n">
        <x:v>35</x:v>
      </x:c>
      <x:c r="C36" s="34" t="n">
        <x:v>45956</x:v>
      </x:c>
      <x:c r="D36" s="42" t="str">
        <x:v>Xfinity 500</x:v>
      </x:c>
      <x:c r="E36" s="42" t="str">
        <x:v>Found</x:v>
      </x:c>
      <x:c r="F36" s="42" t="str">
        <x:v>Yes</x:v>
      </x:c>
      <x:c r="G36" s="42" t="n">
        <x:f>COUNTIFS(Top3_Archive_Hits!$A:$A,A36,Top3_Archive_Hits!$B:$B,B36)</x:f>
        <x:v>0</x:v>
      </x:c>
      <x:c r="H36" s="42" t="str">
        <x:f>IF(G36&gt;0,"Partial explicit quotes","No verified public Top-3 quote found")</x:f>
        <x:v>No verified public Top-3 quote found</x:v>
      </x:c>
    </x:row>
    <x:row r="37">
      <x:c r="A37" t="n">
        <x:v>2025</x:v>
      </x:c>
      <x:c r="B37" t="n">
        <x:v>36</x:v>
      </x:c>
      <x:c r="C37" s="34" t="n">
        <x:v>45963</x:v>
      </x:c>
      <x:c r="D37" s="42" t="str">
        <x:v>NASCAR Cup Series Championship Race</x:v>
      </x:c>
      <x:c r="E37" s="42" t="str">
        <x:v>Found</x:v>
      </x:c>
      <x:c r="F37" s="42" t="str">
        <x:v>Yes</x:v>
      </x:c>
      <x:c r="G37" s="42" t="n">
        <x:f>COUNTIFS(Top3_Archive_Hits!$A:$A,A37,Top3_Archive_Hits!$B:$B,B37)</x:f>
        <x:v>0</x:v>
      </x:c>
      <x:c r="H37" s="42" t="str">
        <x:f>IF(G37&gt;0,"Partial explicit quotes","No verified public Top-3 quote found")</x:f>
        <x:v>No verified public Top-3 quote found</x:v>
      </x:c>
    </x:row>
    <x:row r="38">
      <x:c r="A38" t="n">
        <x:v>2026</x:v>
      </x:c>
      <x:c r="B38" t="n">
        <x:v>1</x:v>
      </x:c>
      <x:c r="C38" s="34" t="n">
        <x:v>46068</x:v>
      </x:c>
      <x:c r="D38" s="42" t="str">
        <x:v>Daytona 500</x:v>
      </x:c>
      <x:c r="E38" s="42" t="str">
        <x:v>Found</x:v>
      </x:c>
      <x:c r="F38" s="42" t="str">
        <x:v>Yes</x:v>
      </x:c>
      <x:c r="G38" s="42" t="n">
        <x:f>COUNTIFS(Top3_Archive_Hits!$A:$A,A38,Top3_Archive_Hits!$B:$B,B38)</x:f>
        <x:v>5</x:v>
      </x:c>
      <x:c r="H38" s="42" t="str">
        <x:f>IF(G38&gt;0,"Partial explicit quotes","No verified public Top-3 quote found")</x:f>
        <x:v>Partial explicit quotes</x:v>
      </x:c>
    </x:row>
    <x:row r="39">
      <x:c r="A39" t="n">
        <x:v>2026</x:v>
      </x:c>
      <x:c r="B39" t="n">
        <x:v>2</x:v>
      </x:c>
      <x:c r="C39" s="34" t="n">
        <x:v>46075</x:v>
      </x:c>
      <x:c r="D39" s="42" t="str">
        <x:v>Autotrader 400</x:v>
      </x:c>
      <x:c r="E39" s="42" t="str">
        <x:v>Found</x:v>
      </x:c>
      <x:c r="F39" s="42" t="str">
        <x:v>Yes</x:v>
      </x:c>
      <x:c r="G39" s="42" t="n">
        <x:f>COUNTIFS(Top3_Archive_Hits!$A:$A,A39,Top3_Archive_Hits!$B:$B,B39)</x:f>
        <x:v>2</x:v>
      </x:c>
      <x:c r="H39" s="42" t="str">
        <x:f>IF(G39&gt;0,"Partial explicit quotes","No verified public Top-3 quote found")</x:f>
        <x:v>Partial explicit quotes</x:v>
      </x:c>
    </x:row>
    <x:row r="40">
      <x:c r="A40" t="n">
        <x:v>2026</x:v>
      </x:c>
      <x:c r="B40" t="n">
        <x:v>3</x:v>
      </x:c>
      <x:c r="C40" s="34" t="n">
        <x:v>46082</x:v>
      </x:c>
      <x:c r="D40" s="42" t="str">
        <x:v>DuraMAX Texas Grand Prix</x:v>
      </x:c>
      <x:c r="E40" s="42" t="str">
        <x:v>Found</x:v>
      </x:c>
      <x:c r="F40" s="42" t="str">
        <x:v>Yes</x:v>
      </x:c>
      <x:c r="G40" s="42" t="n">
        <x:f>COUNTIFS(Top3_Archive_Hits!$A:$A,A40,Top3_Archive_Hits!$B:$B,B40)</x:f>
        <x:v>0</x:v>
      </x:c>
      <x:c r="H40" s="42" t="str">
        <x:f>IF(G40&gt;0,"Partial explicit quotes","No verified public Top-3 quote found")</x:f>
        <x:v>No verified public Top-3 quote found</x:v>
      </x:c>
    </x:row>
    <x:row r="41">
      <x:c r="A41" t="n">
        <x:v>2026</x:v>
      </x:c>
      <x:c r="B41" t="n">
        <x:v>4</x:v>
      </x:c>
      <x:c r="C41" s="34" t="n">
        <x:v>46089</x:v>
      </x:c>
      <x:c r="D41" s="42" t="str">
        <x:v>Straight Talk Wireless 500</x:v>
      </x:c>
      <x:c r="E41" s="42" t="str">
        <x:v>Found</x:v>
      </x:c>
      <x:c r="F41" s="42" t="str">
        <x:v>Yes</x:v>
      </x:c>
      <x:c r="G41" s="42" t="n">
        <x:f>COUNTIFS(Top3_Archive_Hits!$A:$A,A41,Top3_Archive_Hits!$B:$B,B41)</x:f>
        <x:v>0</x:v>
      </x:c>
      <x:c r="H41" s="42" t="str">
        <x:f>IF(G41&gt;0,"Partial explicit quotes","No verified public Top-3 quote found")</x:f>
        <x:v>No verified public Top-3 quote found</x:v>
      </x:c>
    </x:row>
    <x:row r="42">
      <x:c r="A42" t="n">
        <x:v>2026</x:v>
      </x:c>
      <x:c r="B42" t="n">
        <x:v>5</x:v>
      </x:c>
      <x:c r="C42" s="34" t="n">
        <x:v>46096</x:v>
      </x:c>
      <x:c r="D42" s="42" t="str">
        <x:v>Pennzoil 400</x:v>
      </x:c>
      <x:c r="E42" s="42" t="str">
        <x:v>Found</x:v>
      </x:c>
      <x:c r="F42" s="42" t="str">
        <x:v>Yes</x:v>
      </x:c>
      <x:c r="G42" s="42" t="n">
        <x:f>COUNTIFS(Top3_Archive_Hits!$A:$A,A42,Top3_Archive_Hits!$B:$B,B42)</x:f>
        <x:v>0</x:v>
      </x:c>
      <x:c r="H42" s="42" t="str">
        <x:f>IF(G42&gt;0,"Partial explicit quotes","No verified public Top-3 quote found")</x:f>
        <x:v>No verified public Top-3 quote found</x:v>
      </x:c>
    </x:row>
    <x:row r="43">
      <x:c r="A43" t="n">
        <x:v>2026</x:v>
      </x:c>
      <x:c r="B43" t="n">
        <x:v>6</x:v>
      </x:c>
      <x:c r="C43" s="34" t="n">
        <x:v>46103</x:v>
      </x:c>
      <x:c r="D43" s="42" t="str">
        <x:v>Goodyear 400</x:v>
      </x:c>
      <x:c r="E43" s="42" t="str">
        <x:v>Found</x:v>
      </x:c>
      <x:c r="F43" s="42" t="str">
        <x:v>Yes</x:v>
      </x:c>
      <x:c r="G43" s="42" t="n">
        <x:f>COUNTIFS(Top3_Archive_Hits!$A:$A,A43,Top3_Archive_Hits!$B:$B,B43)</x:f>
        <x:v>0</x:v>
      </x:c>
      <x:c r="H43" s="42" t="str">
        <x:f>IF(G43&gt;0,"Partial explicit quotes","No verified public Top-3 quote found")</x:f>
        <x:v>No verified public Top-3 quote found</x:v>
      </x:c>
    </x:row>
    <x:row r="44">
      <x:c r="A44" t="n">
        <x:v>2026</x:v>
      </x:c>
      <x:c r="B44" t="n">
        <x:v>7</x:v>
      </x:c>
      <x:c r="C44" s="34" t="n">
        <x:v>46110</x:v>
      </x:c>
      <x:c r="D44" s="42" t="str">
        <x:v>Cook Out 400</x:v>
      </x:c>
      <x:c r="E44" s="42" t="str">
        <x:v>Found</x:v>
      </x:c>
      <x:c r="F44" s="42" t="str">
        <x:v>Yes</x:v>
      </x:c>
      <x:c r="G44" s="42" t="n">
        <x:f>COUNTIFS(Top3_Archive_Hits!$A:$A,A44,Top3_Archive_Hits!$B:$B,B44)</x:f>
        <x:v>0</x:v>
      </x:c>
      <x:c r="H44" s="42" t="str">
        <x:f>IF(G44&gt;0,"Partial explicit quotes","No verified public Top-3 quote found")</x:f>
        <x:v>No verified public Top-3 quote found</x:v>
      </x:c>
    </x:row>
    <x:row r="45">
      <x:c r="A45" t="n">
        <x:v>2026</x:v>
      </x:c>
      <x:c r="B45" t="n">
        <x:v>8</x:v>
      </x:c>
      <x:c r="C45" s="34" t="n">
        <x:v>46124</x:v>
      </x:c>
      <x:c r="D45" s="42" t="str">
        <x:v>Food City 500</x:v>
      </x:c>
      <x:c r="E45" s="42" t="str">
        <x:v>Found</x:v>
      </x:c>
      <x:c r="F45" s="42" t="str">
        <x:v>Yes</x:v>
      </x:c>
      <x:c r="G45" s="42" t="n">
        <x:f>COUNTIFS(Top3_Archive_Hits!$A:$A,A45,Top3_Archive_Hits!$B:$B,B45)</x:f>
        <x:v>0</x:v>
      </x:c>
      <x:c r="H45" s="42" t="str">
        <x:f>IF(G45&gt;0,"Partial explicit quotes","No verified public Top-3 quote found")</x:f>
        <x:v>No verified public Top-3 quote found</x:v>
      </x:c>
    </x:row>
    <x:row r="46">
      <x:c r="A46" t="n">
        <x:v>2026</x:v>
      </x:c>
      <x:c r="B46" t="n">
        <x:v>9</x:v>
      </x:c>
      <x:c r="C46" s="34" t="n">
        <x:v>46131</x:v>
      </x:c>
      <x:c r="D46" s="42" t="str">
        <x:v>AdventHealth 400</x:v>
      </x:c>
      <x:c r="E46" s="42" t="str">
        <x:v>Found</x:v>
      </x:c>
      <x:c r="F46" s="42" t="str">
        <x:v>Yes</x:v>
      </x:c>
      <x:c r="G46" s="42" t="n">
        <x:f>COUNTIFS(Top3_Archive_Hits!$A:$A,A46,Top3_Archive_Hits!$B:$B,B46)</x:f>
        <x:v>0</x:v>
      </x:c>
      <x:c r="H46" s="42" t="str">
        <x:f>IF(G46&gt;0,"Partial explicit quotes","No verified public Top-3 quote found")</x:f>
        <x:v>No verified public Top-3 quote found</x:v>
      </x:c>
    </x:row>
    <x:row r="47">
      <x:c r="A47" t="n">
        <x:v>2026</x:v>
      </x:c>
      <x:c r="B47" t="n">
        <x:v>10</x:v>
      </x:c>
      <x:c r="C47" s="34" t="n">
        <x:v>46138</x:v>
      </x:c>
      <x:c r="D47" s="42" t="str">
        <x:v>Jack Link's 500</x:v>
      </x:c>
      <x:c r="E47" s="42" t="str">
        <x:v>Found</x:v>
      </x:c>
      <x:c r="F47" s="42" t="str">
        <x:v>Yes</x:v>
      </x:c>
      <x:c r="G47" s="42" t="n">
        <x:f>COUNTIFS(Top3_Archive_Hits!$A:$A,A47,Top3_Archive_Hits!$B:$B,B47)</x:f>
        <x:v>0</x:v>
      </x:c>
      <x:c r="H47" s="42" t="str">
        <x:f>IF(G47&gt;0,"Partial explicit quotes","No verified public Top-3 quote found")</x:f>
        <x:v>No verified public Top-3 quote found</x:v>
      </x:c>
    </x:row>
    <x:row r="48">
      <x:c r="A48" t="n">
        <x:v>2026</x:v>
      </x:c>
      <x:c r="B48" t="n">
        <x:v>11</x:v>
      </x:c>
      <x:c r="C48" s="34" t="n">
        <x:v>46145</x:v>
      </x:c>
      <x:c r="D48" s="42" t="str">
        <x:v>Würth 400</x:v>
      </x:c>
      <x:c r="E48" s="42" t="str">
        <x:v>Found</x:v>
      </x:c>
      <x:c r="F48" s="42" t="str">
        <x:v>Yes</x:v>
      </x:c>
      <x:c r="G48" s="42" t="n">
        <x:f>COUNTIFS(Top3_Archive_Hits!$A:$A,A48,Top3_Archive_Hits!$B:$B,B48)</x:f>
        <x:v>0</x:v>
      </x:c>
      <x:c r="H48" s="42" t="str">
        <x:f>IF(G48&gt;0,"Partial explicit quotes","No verified public Top-3 quote found")</x:f>
        <x:v>No verified public Top-3 quote found</x:v>
      </x:c>
    </x:row>
    <x:row r="49">
      <x:c r="A49" t="n">
        <x:v>2026</x:v>
      </x:c>
      <x:c r="B49" t="n">
        <x:v>12</x:v>
      </x:c>
      <x:c r="C49" s="34" t="n">
        <x:v>46152</x:v>
      </x:c>
      <x:c r="D49" s="42" t="str">
        <x:v>Go Bowling at The Glen</x:v>
      </x:c>
      <x:c r="E49" s="42" t="str">
        <x:v>Found</x:v>
      </x:c>
      <x:c r="F49" s="42" t="str">
        <x:v>Yes</x:v>
      </x:c>
      <x:c r="G49" s="42" t="n">
        <x:f>COUNTIFS(Top3_Archive_Hits!$A:$A,A49,Top3_Archive_Hits!$B:$B,B49)</x:f>
        <x:v>0</x:v>
      </x:c>
      <x:c r="H49" s="42" t="str">
        <x:f>IF(G49&gt;0,"Partial explicit quotes","No verified public Top-3 quote found")</x:f>
        <x:v>No verified public Top-3 quote found</x:v>
      </x:c>
    </x:row>
    <x:row r="50">
      <x:c r="A50" t="n">
        <x:v>2026</x:v>
      </x:c>
      <x:c r="B50" t="n">
        <x:v>13</x:v>
      </x:c>
      <x:c r="C50" s="34" t="n">
        <x:v>46166</x:v>
      </x:c>
      <x:c r="D50" s="42" t="str">
        <x:v>Coca-Cola 600</x:v>
      </x:c>
      <x:c r="E50" s="42" t="str">
        <x:v>Found</x:v>
      </x:c>
      <x:c r="F50" s="42" t="str">
        <x:v>Yes</x:v>
      </x:c>
      <x:c r="G50" s="42" t="n">
        <x:f>COUNTIFS(Top3_Archive_Hits!$A:$A,A50,Top3_Archive_Hits!$B:$B,B50)</x:f>
        <x:v>0</x:v>
      </x:c>
      <x:c r="H50" s="42" t="str">
        <x:f>IF(G50&gt;0,"Partial explicit quotes","No verified public Top-3 quote found")</x:f>
        <x:v>No verified public Top-3 quote found</x:v>
      </x:c>
    </x:row>
    <x:row r="51">
      <x:c r="A51" t="n">
        <x:v>2026</x:v>
      </x:c>
      <x:c r="B51" t="n">
        <x:v>14</x:v>
      </x:c>
      <x:c r="C51" s="34" t="n">
        <x:v>46173</x:v>
      </x:c>
      <x:c r="D51" s="42" t="str">
        <x:v>Cracker Barrel 400</x:v>
      </x:c>
      <x:c r="E51" s="42" t="str">
        <x:v>Found</x:v>
      </x:c>
      <x:c r="F51" s="42" t="str">
        <x:v>Yes</x:v>
      </x:c>
      <x:c r="G51" s="42" t="n">
        <x:f>COUNTIFS(Top3_Archive_Hits!$A:$A,A51,Top3_Archive_Hits!$B:$B,B51)</x:f>
        <x:v>0</x:v>
      </x:c>
      <x:c r="H51" s="42" t="str">
        <x:f>IF(G51&gt;0,"Partial explicit quotes","No verified public Top-3 quote found")</x:f>
        <x:v>No verified public Top-3 quote found</x:v>
      </x:c>
    </x:row>
    <x:row r="52">
      <x:c r="A52" t="n">
        <x:v>2026</x:v>
      </x:c>
      <x:c r="B52" t="n">
        <x:v>15</x:v>
      </x:c>
      <x:c r="C52" s="34" t="n">
        <x:v>46180</x:v>
      </x:c>
      <x:c r="D52" s="42" t="str">
        <x:v>FireKeepers Casino 400</x:v>
      </x:c>
      <x:c r="E52" s="42" t="str">
        <x:v>Found</x:v>
      </x:c>
      <x:c r="F52" s="42" t="str">
        <x:v>Yes</x:v>
      </x:c>
      <x:c r="G52" s="42" t="n">
        <x:f>COUNTIFS(Top3_Archive_Hits!$A:$A,A52,Top3_Archive_Hits!$B:$B,B52)</x:f>
        <x:v>0</x:v>
      </x:c>
      <x:c r="H52" s="42" t="str">
        <x:f>IF(G52&gt;0,"Partial explicit quotes","No verified public Top-3 quote found")</x:f>
        <x:v>No verified public Top-3 quote found</x:v>
      </x:c>
    </x:row>
    <x:row r="53">
      <x:c r="A53" t="n">
        <x:v>2026</x:v>
      </x:c>
      <x:c r="B53" t="n">
        <x:v>16</x:v>
      </x:c>
      <x:c r="C53" s="34" t="n">
        <x:v>46187</x:v>
      </x:c>
      <x:c r="D53" s="42" t="str">
        <x:v>The Great American Getaway 400</x:v>
      </x:c>
      <x:c r="E53" s="42" t="str">
        <x:v>Found</x:v>
      </x:c>
      <x:c r="F53" s="42" t="str">
        <x:v>Yes</x:v>
      </x:c>
      <x:c r="G53" s="42" t="n">
        <x:f>COUNTIFS(Top3_Archive_Hits!$A:$A,A53,Top3_Archive_Hits!$B:$B,B53)</x:f>
        <x:v>0</x:v>
      </x:c>
      <x:c r="H53" s="42" t="str">
        <x:f>IF(G53&gt;0,"Partial explicit quotes","No verified public Top-3 quote found")</x:f>
        <x:v>No verified public Top-3 quote found</x:v>
      </x:c>
    </x:row>
    <x:row r="54">
      <x:c r="A54" t="n">
        <x:v>2026</x:v>
      </x:c>
      <x:c r="B54" t="n">
        <x:v>17</x:v>
      </x:c>
      <x:c r="C54" s="34" t="n">
        <x:v>46194</x:v>
      </x:c>
      <x:c r="D54" s="42" t="str">
        <x:v>Anduril 250 Race the Base</x:v>
      </x:c>
      <x:c r="E54" s="42" t="str">
        <x:v>Found</x:v>
      </x:c>
      <x:c r="F54" s="42" t="str">
        <x:v>Yes</x:v>
      </x:c>
      <x:c r="G54" s="42" t="n">
        <x:f>COUNTIFS(Top3_Archive_Hits!$A:$A,A54,Top3_Archive_Hits!$B:$B,B54)</x:f>
        <x:v>0</x:v>
      </x:c>
      <x:c r="H54" s="42" t="str">
        <x:f>IF(G54&gt;0,"Partial explicit quotes","No verified public Top-3 quote found")</x:f>
        <x:v>No verified public Top-3 quote found</x:v>
      </x:c>
    </x:row>
    <x:row r="55">
      <x:c r="A55" t="n">
        <x:v>2026</x:v>
      </x:c>
      <x:c r="B55" t="n">
        <x:v>18</x:v>
      </x:c>
      <x:c r="C55" s="34" t="n">
        <x:v>46201</x:v>
      </x:c>
      <x:c r="D55" s="42" t="str">
        <x:v>Toyota/Save Mart 350</x:v>
      </x:c>
      <x:c r="E55" s="42" t="str">
        <x:v>Found</x:v>
      </x:c>
      <x:c r="F55" s="42" t="str">
        <x:v>Yes</x:v>
      </x:c>
      <x:c r="G55" s="42" t="n">
        <x:f>COUNTIFS(Top3_Archive_Hits!$A:$A,A55,Top3_Archive_Hits!$B:$B,B55)</x:f>
        <x:v>0</x:v>
      </x:c>
      <x:c r="H55" s="42" t="str">
        <x:f>IF(G55&gt;0,"Partial explicit quotes","No verified public Top-3 quote found")</x:f>
        <x:v>No verified public Top-3 quote found</x:v>
      </x:c>
    </x:row>
    <x:row r="56">
      <x:c r="A56" t="n">
        <x:v>2026</x:v>
      </x:c>
      <x:c r="B56" t="n">
        <x:v>19</x:v>
      </x:c>
      <x:c r="C56" s="34" t="n">
        <x:v>46208</x:v>
      </x:c>
      <x:c r="D56" s="42" t="str">
        <x:v>eero 400</x:v>
      </x:c>
      <x:c r="E56" s="42" t="str">
        <x:v>Found</x:v>
      </x:c>
      <x:c r="F56" s="42" t="str">
        <x:v>Yes</x:v>
      </x:c>
      <x:c r="G56" s="42" t="n">
        <x:f>COUNTIFS(Top3_Archive_Hits!$A:$A,A56,Top3_Archive_Hits!$B:$B,B56)</x:f>
        <x:v>0</x:v>
      </x:c>
      <x:c r="H56" s="42" t="str">
        <x:f>IF(G56&gt;0,"Partial explicit quotes","No verified public Top-3 quote found")</x:f>
        <x:v>No verified public Top-3 quote found</x:v>
      </x:c>
    </x:row>
    <x:row r="57">
      <x:c r="A57" t="n">
        <x:v>2026</x:v>
      </x:c>
      <x:c r="B57" t="n">
        <x:v>20</x:v>
      </x:c>
      <x:c r="C57" s="34" t="n">
        <x:v>46215</x:v>
      </x:c>
      <x:c r="D57" s="42" t="str">
        <x:v>Quaker State 400</x:v>
      </x:c>
      <x:c r="E57" s="42" t="str">
        <x:v>Found</x:v>
      </x:c>
      <x:c r="F57" s="42" t="str">
        <x:v>Yes</x:v>
      </x:c>
      <x:c r="G57" s="42" t="n">
        <x:f>COUNTIFS(Top3_Archive_Hits!$A:$A,A57,Top3_Archive_Hits!$B:$B,B57)</x:f>
        <x:v>0</x:v>
      </x:c>
      <x:c r="H57" s="42" t="str">
        <x:f>IF(G57&gt;0,"Partial explicit quotes","No verified public Top-3 quote found")</x:f>
        <x:v>No verified public Top-3 quote found</x:v>
      </x:c>
    </x:row>
  </x:sheetData>
  <x:conditionalFormatting sqref="E2:F57">
    <x:cfRule type="expression" dxfId="1" priority="1">
      <x:formula>E2="Found"</x:formula>
    </x:cfRule>
  </x:conditionalFormatting>
  <x:conditionalFormatting sqref="H2:H57">
    <x:cfRule type="expression" dxfId="2" priority="2">
      <x:formula>G2=0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252e368c7349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2" hidden="0" customWidth="1"/>
  </x:cols>
  <x:sheetData>
    <x:row r="1">
      <x:c r="A1" s="46" t="str">
        <x:v>NASCAR Cup Historical Odds Reconstruction</x:v>
      </x:c>
      <x:c r="B1" s="46"/>
      <x:c r="C1" s="46"/>
      <x:c r="D1" s="46"/>
      <x:c r="E1" s="46"/>
      <x:c r="F1" s="46"/>
      <x:c r="G1" s="46"/>
      <x:c r="H1" s="46"/>
    </x:row>
    <x:row r="2">
      <x:c r="A2" s="46"/>
      <x:c r="B2" s="46"/>
      <x:c r="C2" s="46"/>
      <x:c r="D2" s="46"/>
      <x:c r="E2" s="46"/>
      <x:c r="F2" s="46"/>
      <x:c r="G2" s="46"/>
      <x:c r="H2" s="46"/>
    </x:row>
    <x:row r="4" ht="34" customHeight="1">
      <x:c r="A4" s="52" t="str">
        <x:v>Scope</x:v>
      </x:c>
      <x:c r="B4" s="42" t="str">
        <x:v>Points-paying NASCAR Cup Series races: all 36 races in 2025 and races 1–20 of 2026 through July 12, 2026.</x:v>
      </x:c>
    </x:row>
    <x:row r="5" ht="34" customHeight="1">
      <x:c r="A5" s="52" t="str">
        <x:v>Outright market</x:v>
      </x:c>
      <x:c r="B5" s="42" t="str">
        <x:v>Eventual winner's latest verified archived pre-race American odds. Most source pages contain the complete outright board.</x:v>
      </x:c>
    </x:row>
    <x:row r="6" ht="34" customHeight="1">
      <x:c r="A6" s="52" t="str">
        <x:v>Top-3 market</x:v>
      </x:c>
      <x:c r="B6" s="42" t="str">
        <x:v>Only explicit historical Top-3 quotes found in public articles are included. The sheet is intentionally incomplete.</x:v>
      </x:c>
    </x:row>
    <x:row r="7" ht="34" customHeight="1">
      <x:c r="A7" s="52" t="str">
        <x:v>Timing</x:v>
      </x:c>
      <x:c r="B7" s="42" t="str">
        <x:v>Race-day prices were preferred. Near-race or retrospective closing quotes are labeled in Source Quality.</x:v>
      </x:c>
    </x:row>
    <x:row r="8" ht="34" customHeight="1">
      <x:c r="A8" s="52" t="str">
        <x:v>No synthetic odds</x:v>
      </x:c>
      <x:c r="B8" s="42" t="str">
        <x:v>Top-3 odds were not estimated from winner odds. Missing prices remain missing.</x:v>
      </x:c>
    </x:row>
    <x:row r="9" ht="34" customHeight="1">
      <x:c r="A9" s="52" t="str">
        <x:v>Book consistency</x:v>
      </x:c>
      <x:c r="B9" s="42" t="str">
        <x:v>DraftKings was preferred where available; other books are retained when that is the archived line.</x:v>
      </x:c>
    </x:row>
    <x:row r="10" ht="34" customHeight="1">
      <x:c r="A10" s="52" t="str">
        <x:v>Result source</x:v>
      </x:c>
      <x:c r="B10" s="42" t="str">
        <x:v>Race winners and race count were checked against NASCAR's official schedule/winner records.</x:v>
      </x:c>
    </x:row>
    <x:row r="11" ht="34" customHeight="1"/>
    <x:row r="12" ht="34" customHeight="1">
      <x:c r="A12" s="58" t="str">
        <x:v>Official 2025/2026 results reference</x:v>
      </x:c>
      <x:c r="B12" s="42" t="str">
        <x:v>https://www.nascar.com/nascar-cup-series/2026/schedule/</x:v>
      </x:c>
    </x:row>
    <x:row r="13" ht="34" customHeight="1">
      <x:c r="A13" s="58" t="str">
        <x:v>Primary odds archive</x:v>
      </x:c>
      <x:c r="B13" s="42" t="str">
        <x:v>FOX Sports NASCAR betting articles (row-level URLs in Winner_Odds).</x:v>
      </x:c>
    </x:row>
    <x:row r="14" ht="34" customHeight="1">
      <x:c r="A14" s="58" t="str">
        <x:v>Supplemental Top-3 archives</x:v>
      </x:c>
      <x:c r="B14" s="42" t="str">
        <x:v>Action Network, CBS Sports, and SportsLine (row-level URLs in Top3_Archive_Hits).</x:v>
      </x:c>
    </x:row>
    <x:row r="15" ht="34" customHeight="1">
      <x:c r="A15" s="58" t="str">
        <x:v>Interpretation warning</x:v>
      </x:c>
      <x:c r="B15" s="42" t="str">
        <x:v>Archived article odds are the latest line visible in that article, not guaranteed tick-by-tick sportsbook close.</x:v>
      </x:c>
    </x:row>
    <x:row r="16" ht="34" customHeight="1">
      <x:c r="A16" s="58" t="str">
        <x:v>Recommended modeling use</x:v>
      </x:c>
      <x:c r="B16" s="42" t="str">
        <x:v>Treat Source Quality and Sportsbook as control fields; do not pool Top-3 hits as though they were a complete market panel.</x:v>
      </x:c>
    </x:row>
    <x:row r="17" ht="34" customHeight="1">
      <x:c r="A17" s="58" t="str">
        <x:v>Snapshot date</x:v>
      </x:c>
      <x:c r="B17" s="42" t="str">
        <x:v>2026-07-15</x:v>
      </x:c>
    </x:row>
    <x:row r="19" ht="36" customHeight="1">
      <x:c r="A19" s="132" t="str">
        <x:v>Estimated Top-3 method</x:v>
      </x:c>
      <x:c r="B19" s="42" t="str">
        <x:v>A power-law regression is fit to matched public Win and Top-3 quotes: P(Top 3) = MIN(88%, EXP(a) × P(win)^b).</x:v>
      </x:c>
    </x:row>
    <x:row r="20" ht="36" customHeight="1">
      <x:c r="A20" s="132" t="str">
        <x:v>Calibration transparency</x:v>
      </x:c>
      <x:c r="B20" s="42" t="str">
        <x:v>The matched observations, source URLs, formulas, slope, intercept, sample size, and R-squared are on Top3_Calibration.</x:v>
      </x:c>
    </x:row>
    <x:row r="21" ht="36" customHeight="1">
      <x:c r="A21" s="132" t="str">
        <x:v>Odds conversion</x:v>
      </x:c>
      <x:c r="B21" s="42" t="str">
        <x:v>Estimated probabilities are converted to American odds and rounded to the nearest 5, to resemble a sportsbook line.</x:v>
      </x:c>
    </x:row>
    <x:row r="22" ht="36" customHeight="1">
      <x:c r="A22" s="132" t="str">
        <x:v>Interpretation</x:v>
      </x:c>
      <x:c r="B22" s="42" t="str">
        <x:v>These are modeled market estimates, not historical sportsbook quotes. Use the Estimate Status field to distinguish them.</x:v>
      </x:c>
    </x:row>
    <x:row r="23" ht="36" customHeight="1">
      <x:c r="A23" s="132" t="str">
        <x:v>Qualifying odds</x:v>
      </x:c>
      <x:c r="B23" s="42" t="str">
        <x:v>A complete 2026 Daytona 500 pole opening board was located, plus an isolated 2023 pole quote.</x:v>
      </x:c>
    </x:row>
    <x:row r="24" ht="36" customHeight="1">
      <x:c r="A24" s="132" t="str">
        <x:v>Qualifying limitation</x:v>
      </x:c>
      <x:c r="B24" s="42" t="str">
        <x:v>Public archives for non-Daytona pole markets and qualifying head-to-heads are sparse and inconsistent.</x:v>
      </x:c>
    </x:row>
    <x:row r="25" ht="36" customHeight="1">
      <x:c r="A25" s="132" t="str">
        <x:v>Updated snapshot</x:v>
      </x:c>
      <x:c r="B25" s="42" t="str">
        <x:v>2026-07-15</x:v>
      </x:c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27" hidden="0" customWidth="1"/>
    <x:col min="5" max="5" width="20" hidden="0" customWidth="1"/>
    <x:col min="6" max="6" width="12" hidden="0" customWidth="1"/>
    <x:col min="7" max="7" width="13" hidden="0" customWidth="1"/>
    <x:col min="8" max="8" width="17" hidden="0" customWidth="1"/>
    <x:col min="9" max="9" width="18" hidden="0" customWidth="1"/>
    <x:col min="10" max="10" width="14" hidden="0" customWidth="1"/>
    <x:col min="11" max="11" width="15" hidden="0" customWidth="1"/>
    <x:col min="12" max="12" width="23" hidden="0" customWidth="1"/>
    <x:col min="13" max="13" width="40" hidden="0" customWidth="1"/>
    <x:col min="14" max="14" width="40" hidden="0" customWidth="1"/>
    <x:col min="15" max="15" width="26" hidden="0" customWidth="1"/>
    <x:col min="17" max="17" width="25" hidden="0" customWidth="1"/>
    <x:col min="18" max="18" width="42" hidden="0" customWidth="1"/>
  </x:cols>
  <x:sheetData>
    <x:row r="1" ht="34" customHeight="1">
      <x:c r="A1" s="103" t="str">
        <x:v>Season</x:v>
      </x:c>
      <x:c r="B1" s="103" t="str">
        <x:v>Race #</x:v>
      </x:c>
      <x:c r="C1" s="103" t="str">
        <x:v>Race Date</x:v>
      </x:c>
      <x:c r="D1" s="103" t="str">
        <x:v>Race</x:v>
      </x:c>
      <x:c r="E1" s="103" t="str">
        <x:v>Driver</x:v>
      </x:c>
      <x:c r="F1" s="103" t="str">
        <x:v>Win Odds</x:v>
      </x:c>
      <x:c r="G1" s="103" t="str">
        <x:v>Top-3 Odds</x:v>
      </x:c>
      <x:c r="H1" s="103" t="str">
        <x:v>Win Implied Prob.</x:v>
      </x:c>
      <x:c r="I1" s="103" t="str">
        <x:v>Top-3 Implied Prob.</x:v>
      </x:c>
      <x:c r="J1" s="103" t="str">
        <x:v>LN Win Prob.</x:v>
      </x:c>
      <x:c r="K1" s="103" t="str">
        <x:v>LN Top-3 Prob.</x:v>
      </x:c>
      <x:c r="L1" s="103" t="str">
        <x:v>Books</x:v>
      </x:c>
      <x:c r="M1" s="103" t="str">
        <x:v>Winner Source</x:v>
      </x:c>
      <x:c r="N1" s="103" t="str">
        <x:v>Top-3 Source</x:v>
      </x:c>
      <x:c r="O1" s="103" t="str">
        <x:v>Matching Note</x:v>
      </x:c>
      <x:c r="Q1" s="106" t="str">
        <x:v>Power-law calibration</x:v>
      </x:c>
      <x:c r="R1" s="106" t="str">
        <x:v>Value</x:v>
      </x:c>
    </x:row>
    <x:row r="2">
      <x:c r="A2" t="n">
        <x:v>2025</x:v>
      </x:c>
      <x:c r="B2" t="n">
        <x:v>2</x:v>
      </x:c>
      <x:c r="C2" s="34" t="n">
        <x:v>45711</x:v>
      </x:c>
      <x:c r="D2" s="42" t="str">
        <x:v>Ambetter Health 400</x:v>
      </x:c>
      <x:c r="E2" s="42" t="str">
        <x:v>Alex Bowman</x:v>
      </x:c>
      <x:c r="F2" s="36" t="n">
        <x:v>2000</x:v>
      </x:c>
      <x:c r="G2" s="36" t="n">
        <x:v>900</x:v>
      </x:c>
      <x:c r="H2" s="40" t="n">
        <x:f>IF(F2&gt;0,100/(F2+100),ABS(F2)/(ABS(F2)+100))</x:f>
        <x:v>0.047619047619047616</x:v>
      </x:c>
      <x:c r="I2" s="40" t="n">
        <x:f>IF(G2&gt;0,100/(G2+100),ABS(G2)/(ABS(G2)+100))</x:f>
        <x:v>0.1</x:v>
      </x:c>
      <x:c r="J2" s="111" t="n">
        <x:f>LN(H2)</x:f>
        <x:v>-3.044522437723423</x:v>
      </x:c>
      <x:c r="K2" s="111" t="n">
        <x:f>LN(I2)</x:f>
        <x:v>-2.3025850929940455</x:v>
      </x:c>
      <x:c r="L2" s="42" t="str">
        <x:v>DraftKings / FanDuel</x:v>
      </x:c>
      <x:c r="M2" s="42" t="str">
        <x:v>https://www.foxsports.com/stories/nascar/2025-nascar-odds-ambetter-health-400</x:v>
      </x:c>
      <x:c r="N2" s="42" t="str">
        <x:v>https://www.actionnetwork.com/nascar/nascar-odds-picks-ambetter-health-400-atlanta-sunday-2025</x:v>
      </x:c>
      <x:c r="O2" s="42" t="str">
        <x:v>Cross-book, same race-day window</x:v>
      </x:c>
      <x:c r="Q2" s="108" t="str">
        <x:v>Slope (b)</x:v>
      </x:c>
      <x:c r="R2" s="112" t="n">
        <x:f>SLOPE(K2:K15,J2:J15)</x:f>
        <x:v>0.7810928964265837</x:v>
      </x:c>
    </x:row>
    <x:row r="3">
      <x:c r="A3" t="n">
        <x:v>2025</x:v>
      </x:c>
      <x:c r="B3" t="n">
        <x:v>12</x:v>
      </x:c>
      <x:c r="C3" s="34" t="n">
        <x:v>45788</x:v>
      </x:c>
      <x:c r="D3" s="42" t="str">
        <x:v>AdventHealth 400</x:v>
      </x:c>
      <x:c r="E3" s="42" t="str">
        <x:v>William Byron</x:v>
      </x:c>
      <x:c r="F3" s="36" t="n">
        <x:v>800</x:v>
      </x:c>
      <x:c r="G3" s="36" t="n">
        <x:v>235</x:v>
      </x:c>
      <x:c r="H3" s="40" t="n">
        <x:f>IF(F3&gt;0,100/(F3+100),ABS(F3)/(ABS(F3)+100))</x:f>
        <x:v>0.1111111111111111</x:v>
      </x:c>
      <x:c r="I3" s="40" t="n">
        <x:f>IF(G3&gt;0,100/(G3+100),ABS(G3)/(ABS(G3)+100))</x:f>
        <x:v>0.29850746268656714</x:v>
      </x:c>
      <x:c r="J3" s="111" t="n">
        <x:f>LN(H3)</x:f>
        <x:v>-2.1972245773362196</x:v>
      </x:c>
      <x:c r="K3" s="111" t="n">
        <x:f>LN(I3)</x:f>
        <x:v>-1.208960345836975</x:v>
      </x:c>
      <x:c r="L3" s="42" t="str">
        <x:v>DraftKings</x:v>
      </x:c>
      <x:c r="M3" s="42" t="str">
        <x:v>https://www.foxsports.com/stories/nascar/kansas-adventhealth-400-odds-2025</x:v>
      </x:c>
      <x:c r="N3" s="42" t="str">
        <x:v>https://www.actionnetwork.com/nascar/nascar-odds-predictions-expert-pick-for-kansas-on-sunday-may-11</x:v>
      </x:c>
      <x:c r="O3" s="42" t="str">
        <x:v>Same sportsbook/date</x:v>
      </x:c>
      <x:c r="Q3" s="108" t="str">
        <x:v>Intercept (a)</x:v>
      </x:c>
      <x:c r="R3" s="112" t="n">
        <x:f>INTERCEPT(K2:K15,J2:J15)</x:f>
        <x:v>0.2883570248304288</x:v>
      </x:c>
    </x:row>
    <x:row r="4">
      <x:c r="A4" t="n">
        <x:v>2025</x:v>
      </x:c>
      <x:c r="B4" t="n">
        <x:v>13</x:v>
      </x:c>
      <x:c r="C4" s="34" t="n">
        <x:v>45802</x:v>
      </x:c>
      <x:c r="D4" s="42" t="str">
        <x:v>Coca-Cola 600</x:v>
      </x:c>
      <x:c r="E4" s="42" t="str">
        <x:v>Alex Bowman</x:v>
      </x:c>
      <x:c r="F4" s="36" t="n">
        <x:v>1500</x:v>
      </x:c>
      <x:c r="G4" s="36" t="n">
        <x:v>600</x:v>
      </x:c>
      <x:c r="H4" s="40" t="n">
        <x:f>IF(F4&gt;0,100/(F4+100),ABS(F4)/(ABS(F4)+100))</x:f>
        <x:v>0.0625</x:v>
      </x:c>
      <x:c r="I4" s="40" t="n">
        <x:f>IF(G4&gt;0,100/(G4+100),ABS(G4)/(ABS(G4)+100))</x:f>
        <x:v>0.14285714285714285</x:v>
      </x:c>
      <x:c r="J4" s="111" t="n">
        <x:f>LN(H4)</x:f>
        <x:v>-2.772588722239781</x:v>
      </x:c>
      <x:c r="K4" s="111" t="n">
        <x:f>LN(I4)</x:f>
        <x:v>-1.9459101490553135</x:v>
      </x:c>
      <x:c r="L4" s="42" t="str">
        <x:v>DraftKings / FanDuel</x:v>
      </x:c>
      <x:c r="M4" s="42" t="str">
        <x:v>https://www.foxsports.com/stories/nascar/coca-cola-600-odds-2025</x:v>
      </x:c>
      <x:c r="N4" s="42" t="str">
        <x:v>https://www.actionnetwork.com/nascar/coca-cola-600-odds-expert-picks-best-bets-for-nascar-at-charlotte</x:v>
      </x:c>
      <x:c r="O4" s="42" t="str">
        <x:v>Cross-book, same race day</x:v>
      </x:c>
      <x:c r="Q4" s="108" t="str">
        <x:v>Probability cap</x:v>
      </x:c>
      <x:c r="R4" s="113" t="n">
        <x:v>0.88</x:v>
      </x:c>
    </x:row>
    <x:row r="5">
      <x:c r="A5" t="n">
        <x:v>2025</x:v>
      </x:c>
      <x:c r="B5" t="n">
        <x:v>30</x:v>
      </x:c>
      <x:c r="C5" s="34" t="n">
        <x:v>45921</x:v>
      </x:c>
      <x:c r="D5" s="42" t="str">
        <x:v>Mobil 1 301</x:v>
      </x:c>
      <x:c r="E5" s="42" t="str">
        <x:v>William Byron</x:v>
      </x:c>
      <x:c r="F5" s="36" t="n">
        <x:v>850</x:v>
      </x:c>
      <x:c r="G5" s="36" t="n">
        <x:v>300</x:v>
      </x:c>
      <x:c r="H5" s="40" t="n">
        <x:f>IF(F5&gt;0,100/(F5+100),ABS(F5)/(ABS(F5)+100))</x:f>
        <x:v>0.10526315789473684</x:v>
      </x:c>
      <x:c r="I5" s="40" t="n">
        <x:f>IF(G5&gt;0,100/(G5+100),ABS(G5)/(ABS(G5)+100))</x:f>
        <x:v>0.25</x:v>
      </x:c>
      <x:c r="J5" s="111" t="n">
        <x:f>LN(H5)</x:f>
        <x:v>-2.2512917986064953</x:v>
      </x:c>
      <x:c r="K5" s="111" t="n">
        <x:f>LN(I5)</x:f>
        <x:v>-1.3862943611198906</x:v>
      </x:c>
      <x:c r="L5" s="42" t="str">
        <x:v>DraftKings / not identified</x:v>
      </x:c>
      <x:c r="M5" s="42" t="str">
        <x:v>https://www.foxsports.com/stories/nascar/2025-nascar-odds-new-hampshire-mobil-1-301</x:v>
      </x:c>
      <x:c r="N5" s="42" t="str">
        <x:v>https://www.sportsline.com/insiders/2025-mobil-1-301-odds-picks-projected-nascar-at-new-hampshire-leaderboard-predictions-by-top-model/</x:v>
      </x:c>
      <x:c r="O5" s="42" t="str">
        <x:v>Same weekend</x:v>
      </x:c>
      <x:c r="Q5" s="108" t="str">
        <x:v>Sample size</x:v>
      </x:c>
      <x:c r="R5" s="110" t="n">
        <x:v>14</x:v>
      </x:c>
    </x:row>
    <x:row r="6">
      <x:c r="A6" t="n">
        <x:v>2025</x:v>
      </x:c>
      <x:c r="B6" t="n">
        <x:v>32</x:v>
      </x:c>
      <x:c r="C6" s="34" t="n">
        <x:v>45935</x:v>
      </x:c>
      <x:c r="D6" s="42" t="str">
        <x:v>Bank of America ROVAL 400</x:v>
      </x:c>
      <x:c r="E6" s="42" t="str">
        <x:v>AJ Allmendinger</x:v>
      </x:c>
      <x:c r="F6" s="36" t="n">
        <x:v>1000</x:v>
      </x:c>
      <x:c r="G6" s="36" t="n">
        <x:v>500</x:v>
      </x:c>
      <x:c r="H6" s="40" t="n">
        <x:f>IF(F6&gt;0,100/(F6+100),ABS(F6)/(ABS(F6)+100))</x:f>
        <x:v>0.09090909090909091</x:v>
      </x:c>
      <x:c r="I6" s="40" t="n">
        <x:f>IF(G6&gt;0,100/(G6+100),ABS(G6)/(ABS(G6)+100))</x:f>
        <x:v>0.16666666666666666</x:v>
      </x:c>
      <x:c r="J6" s="111" t="n">
        <x:f>LN(H6)</x:f>
        <x:v>-2.3978952727983707</x:v>
      </x:c>
      <x:c r="K6" s="111" t="n">
        <x:f>LN(I6)</x:f>
        <x:v>-1.791759469228055</x:v>
      </x:c>
      <x:c r="L6" s="42" t="str">
        <x:v>DraftKings / not identified</x:v>
      </x:c>
      <x:c r="M6" s="42" t="str">
        <x:v>https://www.foxsports.com/stories/nascar/2025-nascar-odds-charlotte-roval</x:v>
      </x:c>
      <x:c r="N6" s="42" t="str">
        <x:v>https://www.sportsline.com/insiders/2025-bank-of-america-roval-400-odds-picks-projected-nascar-at-charlotte-leaderboard-predictions-by-top-model/</x:v>
      </x:c>
      <x:c r="O6" s="42" t="str">
        <x:v>Same weekend</x:v>
      </x:c>
      <x:c r="Q6" s="108" t="str">
        <x:v>R-squared</x:v>
      </x:c>
      <x:c r="R6" s="114" t="n">
        <x:f>RSQ(K2:K15,J2:J15)</x:f>
        <x:v>0.710753614111379</x:v>
      </x:c>
    </x:row>
    <x:row r="7">
      <x:c r="A7" t="n">
        <x:v>2025</x:v>
      </x:c>
      <x:c r="B7" t="n">
        <x:v>33</x:v>
      </x:c>
      <x:c r="C7" s="34" t="n">
        <x:v>45942</x:v>
      </x:c>
      <x:c r="D7" s="42" t="str">
        <x:v>South Point 400</x:v>
      </x:c>
      <x:c r="E7" s="42" t="str">
        <x:v>William Byron</x:v>
      </x:c>
      <x:c r="F7" s="36" t="n">
        <x:v>600</x:v>
      </x:c>
      <x:c r="G7" s="36" t="n">
        <x:v>250</x:v>
      </x:c>
      <x:c r="H7" s="40" t="n">
        <x:f>IF(F7&gt;0,100/(F7+100),ABS(F7)/(ABS(F7)+100))</x:f>
        <x:v>0.14285714285714285</x:v>
      </x:c>
      <x:c r="I7" s="40" t="n">
        <x:f>IF(G7&gt;0,100/(G7+100),ABS(G7)/(ABS(G7)+100))</x:f>
        <x:v>0.2857142857142857</x:v>
      </x:c>
      <x:c r="J7" s="111" t="n">
        <x:f>LN(H7)</x:f>
        <x:v>-1.9459101490553135</x:v>
      </x:c>
      <x:c r="K7" s="111" t="n">
        <x:f>LN(I7)</x:f>
        <x:v>-1.252762968495368</x:v>
      </x:c>
      <x:c r="L7" s="42" t="str">
        <x:v>FanDuel / not identified</x:v>
      </x:c>
      <x:c r="M7" s="42" t="str">
        <x:v>https://www.foxsports.com/stories/nascar/2025-nascar-odds-vegas</x:v>
      </x:c>
      <x:c r="N7" s="42" t="str">
        <x:v>https://www.sportsline.com/insiders/2025-south-point-400-odds-picks-projected-nascar-at-las-vegas-leaderboard-predictions-by-top-model/</x:v>
      </x:c>
      <x:c r="O7" s="42" t="str">
        <x:v>Same weekend</x:v>
      </x:c>
      <x:c r="Q7" s="108" t="str">
        <x:v>Model</x:v>
      </x:c>
      <x:c r="R7" s="110" t="str">
        <x:v>P(Top 3) = MIN(cap, EXP(a) × P(win)^b)</x:v>
      </x:c>
    </x:row>
    <x:row r="8">
      <x:c r="A8" t="n">
        <x:v>2026</x:v>
      </x:c>
      <x:c r="B8" t="n">
        <x:v>1</x:v>
      </x:c>
      <x:c r="C8" s="34" t="n">
        <x:v>46068</x:v>
      </x:c>
      <x:c r="D8" s="42" t="str">
        <x:v>Daytona 500</x:v>
      </x:c>
      <x:c r="E8" s="42" t="str">
        <x:v>Ryan Blaney</x:v>
      </x:c>
      <x:c r="F8" s="36" t="n">
        <x:v>1000</x:v>
      </x:c>
      <x:c r="G8" s="36" t="n">
        <x:v>330</x:v>
      </x:c>
      <x:c r="H8" s="40" t="n">
        <x:f>IF(F8&gt;0,100/(F8+100),ABS(F8)/(ABS(F8)+100))</x:f>
        <x:v>0.09090909090909091</x:v>
      </x:c>
      <x:c r="I8" s="40" t="n">
        <x:f>IF(G8&gt;0,100/(G8+100),ABS(G8)/(ABS(G8)+100))</x:f>
        <x:v>0.23255813953488372</x:v>
      </x:c>
      <x:c r="J8" s="111" t="n">
        <x:f>LN(H8)</x:f>
        <x:v>-2.3978952727983707</x:v>
      </x:c>
      <x:c r="K8" s="111" t="n">
        <x:f>LN(I8)</x:f>
        <x:v>-1.4586150226995167</x:v>
      </x:c>
      <x:c r="L8" s="42" t="str">
        <x:v>DraftKings / Caesars</x:v>
      </x:c>
      <x:c r="M8" s="42" t="str">
        <x:v>https://www.foxsports.com/stories/nascar/2026-daytona-500-odds</x:v>
      </x:c>
      <x:c r="N8" s="42" t="str">
        <x:v>https://www.cbssports.com/betting/news/how-to-bet-on-nascar-2026-daytona-500-betting-guide/</x:v>
      </x:c>
      <x:c r="O8" s="42" t="str">
        <x:v>Cross-book, near-race</x:v>
      </x:c>
    </x:row>
    <x:row r="9">
      <x:c r="A9" t="n">
        <x:v>2026</x:v>
      </x:c>
      <x:c r="B9" t="n">
        <x:v>1</x:v>
      </x:c>
      <x:c r="C9" s="34" t="n">
        <x:v>46068</x:v>
      </x:c>
      <x:c r="D9" s="42" t="str">
        <x:v>Daytona 500</x:v>
      </x:c>
      <x:c r="E9" s="42" t="str">
        <x:v>Joey Logano</x:v>
      </x:c>
      <x:c r="F9" s="36" t="n">
        <x:v>1000</x:v>
      </x:c>
      <x:c r="G9" s="36" t="n">
        <x:v>330</x:v>
      </x:c>
      <x:c r="H9" s="40" t="n">
        <x:f>IF(F9&gt;0,100/(F9+100),ABS(F9)/(ABS(F9)+100))</x:f>
        <x:v>0.09090909090909091</x:v>
      </x:c>
      <x:c r="I9" s="40" t="n">
        <x:f>IF(G9&gt;0,100/(G9+100),ABS(G9)/(ABS(G9)+100))</x:f>
        <x:v>0.23255813953488372</x:v>
      </x:c>
      <x:c r="J9" s="111" t="n">
        <x:f>LN(H9)</x:f>
        <x:v>-2.3978952727983707</x:v>
      </x:c>
      <x:c r="K9" s="111" t="n">
        <x:f>LN(I9)</x:f>
        <x:v>-1.4586150226995167</x:v>
      </x:c>
      <x:c r="L9" s="42" t="str">
        <x:v>DraftKings / Caesars</x:v>
      </x:c>
      <x:c r="M9" s="42" t="str">
        <x:v>https://www.foxsports.com/stories/nascar/2026-daytona-500-odds</x:v>
      </x:c>
      <x:c r="N9" s="42" t="str">
        <x:v>https://www.cbssports.com/betting/news/how-to-bet-on-nascar-2026-daytona-500-betting-guide/</x:v>
      </x:c>
      <x:c r="O9" s="42" t="str">
        <x:v>Cross-book, near-race</x:v>
      </x:c>
    </x:row>
    <x:row r="10">
      <x:c r="A10" t="n">
        <x:v>2026</x:v>
      </x:c>
      <x:c r="B10" t="n">
        <x:v>1</x:v>
      </x:c>
      <x:c r="C10" s="34" t="n">
        <x:v>46068</x:v>
      </x:c>
      <x:c r="D10" s="42" t="str">
        <x:v>Daytona 500</x:v>
      </x:c>
      <x:c r="E10" s="42" t="str">
        <x:v>Chase Elliott</x:v>
      </x:c>
      <x:c r="F10" s="36" t="n">
        <x:v>1200</x:v>
      </x:c>
      <x:c r="G10" s="36" t="n">
        <x:v>330</x:v>
      </x:c>
      <x:c r="H10" s="40" t="n">
        <x:f>IF(F10&gt;0,100/(F10+100),ABS(F10)/(ABS(F10)+100))</x:f>
        <x:v>0.07692307692307693</x:v>
      </x:c>
      <x:c r="I10" s="40" t="n">
        <x:f>IF(G10&gt;0,100/(G10+100),ABS(G10)/(ABS(G10)+100))</x:f>
        <x:v>0.23255813953488372</x:v>
      </x:c>
      <x:c r="J10" s="111" t="n">
        <x:f>LN(H10)</x:f>
        <x:v>-2.5649493574615367</x:v>
      </x:c>
      <x:c r="K10" s="111" t="n">
        <x:f>LN(I10)</x:f>
        <x:v>-1.4586150226995167</x:v>
      </x:c>
      <x:c r="L10" s="42" t="str">
        <x:v>DraftKings / Caesars</x:v>
      </x:c>
      <x:c r="M10" s="42" t="str">
        <x:v>https://www.foxsports.com/stories/nascar/2026-daytona-500-odds</x:v>
      </x:c>
      <x:c r="N10" s="42" t="str">
        <x:v>https://www.cbssports.com/betting/news/how-to-bet-on-nascar-2026-daytona-500-betting-guide/</x:v>
      </x:c>
      <x:c r="O10" s="42" t="str">
        <x:v>Cross-book, near-race</x:v>
      </x:c>
    </x:row>
    <x:row r="11">
      <x:c r="A11" t="n">
        <x:v>2026</x:v>
      </x:c>
      <x:c r="B11" t="n">
        <x:v>1</x:v>
      </x:c>
      <x:c r="C11" s="34" t="n">
        <x:v>46068</x:v>
      </x:c>
      <x:c r="D11" s="42" t="str">
        <x:v>Daytona 500</x:v>
      </x:c>
      <x:c r="E11" s="42" t="str">
        <x:v>Kyle Busch</x:v>
      </x:c>
      <x:c r="F11" s="36" t="n">
        <x:v>900</x:v>
      </x:c>
      <x:c r="G11" s="36" t="n">
        <x:v>500</x:v>
      </x:c>
      <x:c r="H11" s="40" t="n">
        <x:f>IF(F11&gt;0,100/(F11+100),ABS(F11)/(ABS(F11)+100))</x:f>
        <x:v>0.1</x:v>
      </x:c>
      <x:c r="I11" s="40" t="n">
        <x:f>IF(G11&gt;0,100/(G11+100),ABS(G11)/(ABS(G11)+100))</x:f>
        <x:v>0.16666666666666666</x:v>
      </x:c>
      <x:c r="J11" s="111" t="n">
        <x:f>LN(H11)</x:f>
        <x:v>-2.3025850929940455</x:v>
      </x:c>
      <x:c r="K11" s="111" t="n">
        <x:f>LN(I11)</x:f>
        <x:v>-1.791759469228055</x:v>
      </x:c>
      <x:c r="L11" s="42" t="str">
        <x:v>DraftKings / Caesars</x:v>
      </x:c>
      <x:c r="M11" s="42" t="str">
        <x:v>https://www.foxsports.com/stories/nascar/2026-daytona-500-odds</x:v>
      </x:c>
      <x:c r="N11" s="42" t="str">
        <x:v>https://www.cbssports.com/betting/news/how-to-bet-on-nascar-2026-daytona-500-betting-guide/</x:v>
      </x:c>
      <x:c r="O11" s="42" t="str">
        <x:v>Cross-book, near-race</x:v>
      </x:c>
    </x:row>
    <x:row r="12">
      <x:c r="A12" t="n">
        <x:v>2026</x:v>
      </x:c>
      <x:c r="B12" t="n">
        <x:v>1</x:v>
      </x:c>
      <x:c r="C12" s="34" t="n">
        <x:v>46068</x:v>
      </x:c>
      <x:c r="D12" s="42" t="str">
        <x:v>Daytona 500</x:v>
      </x:c>
      <x:c r="E12" s="42" t="str">
        <x:v>Denny Hamlin</x:v>
      </x:c>
      <x:c r="F12" s="36" t="n">
        <x:v>900</x:v>
      </x:c>
      <x:c r="G12" s="36" t="n">
        <x:v>600</x:v>
      </x:c>
      <x:c r="H12" s="40" t="n">
        <x:f>IF(F12&gt;0,100/(F12+100),ABS(F12)/(ABS(F12)+100))</x:f>
        <x:v>0.1</x:v>
      </x:c>
      <x:c r="I12" s="40" t="n">
        <x:f>IF(G12&gt;0,100/(G12+100),ABS(G12)/(ABS(G12)+100))</x:f>
        <x:v>0.14285714285714285</x:v>
      </x:c>
      <x:c r="J12" s="111" t="n">
        <x:f>LN(H12)</x:f>
        <x:v>-2.3025850929940455</x:v>
      </x:c>
      <x:c r="K12" s="111" t="n">
        <x:f>LN(I12)</x:f>
        <x:v>-1.9459101490553135</x:v>
      </x:c>
      <x:c r="L12" s="42" t="str">
        <x:v>DraftKings / Caesars</x:v>
      </x:c>
      <x:c r="M12" s="42" t="str">
        <x:v>https://www.foxsports.com/stories/nascar/2026-daytona-500-odds</x:v>
      </x:c>
      <x:c r="N12" s="42" t="str">
        <x:v>https://www.cbssports.com/betting/news/how-to-bet-on-nascar-2026-daytona-500-betting-guide/</x:v>
      </x:c>
      <x:c r="O12" s="42" t="str">
        <x:v>Cross-book, near-race</x:v>
      </x:c>
    </x:row>
    <x:row r="13">
      <x:c r="A13" t="n">
        <x:v>2026</x:v>
      </x:c>
      <x:c r="B13" t="n">
        <x:v>2</x:v>
      </x:c>
      <x:c r="C13" s="34" t="n">
        <x:v>46075</x:v>
      </x:c>
      <x:c r="D13" s="42" t="str">
        <x:v>Autotrader 400</x:v>
      </x:c>
      <x:c r="E13" s="42" t="str">
        <x:v>Austin Cindric</x:v>
      </x:c>
      <x:c r="F13" s="36" t="n">
        <x:v>2000</x:v>
      </x:c>
      <x:c r="G13" s="36" t="n">
        <x:v>600</x:v>
      </x:c>
      <x:c r="H13" s="40" t="n">
        <x:f>IF(F13&gt;0,100/(F13+100),ABS(F13)/(ABS(F13)+100))</x:f>
        <x:v>0.047619047619047616</x:v>
      </x:c>
      <x:c r="I13" s="40" t="n">
        <x:f>IF(G13&gt;0,100/(G13+100),ABS(G13)/(ABS(G13)+100))</x:f>
        <x:v>0.14285714285714285</x:v>
      </x:c>
      <x:c r="J13" s="111" t="n">
        <x:f>LN(H13)</x:f>
        <x:v>-3.044522437723423</x:v>
      </x:c>
      <x:c r="K13" s="111" t="n">
        <x:f>LN(I13)</x:f>
        <x:v>-1.9459101490553135</x:v>
      </x:c>
      <x:c r="L13" s="42" t="str">
        <x:v>DraftKings / bet365</x:v>
      </x:c>
      <x:c r="M13" s="42" t="str">
        <x:v>https://www.foxsports.com/stories/nascar/2026-nascar-odds-atl-spring-race</x:v>
      </x:c>
      <x:c r="N13" s="42" t="str">
        <x:v>https://www.actionnetwork.com/nascar/nascar-odds-picks-predictions-echopark-expert-picks-autotrader-400-sun-feb-22</x:v>
      </x:c>
      <x:c r="O13" s="42" t="str">
        <x:v>Cross-book, race day</x:v>
      </x:c>
    </x:row>
    <x:row r="14">
      <x:c r="A14" t="n">
        <x:v>2026</x:v>
      </x:c>
      <x:c r="B14" t="n">
        <x:v>2</x:v>
      </x:c>
      <x:c r="C14" s="34" t="n">
        <x:v>46075</x:v>
      </x:c>
      <x:c r="D14" s="42" t="str">
        <x:v>Autotrader 400</x:v>
      </x:c>
      <x:c r="E14" s="42" t="str">
        <x:v>Chris Buescher</x:v>
      </x:c>
      <x:c r="F14" s="36" t="n">
        <x:v>2500</x:v>
      </x:c>
      <x:c r="G14" s="36" t="n">
        <x:v>750</x:v>
      </x:c>
      <x:c r="H14" s="40" t="n">
        <x:f>IF(F14&gt;0,100/(F14+100),ABS(F14)/(ABS(F14)+100))</x:f>
        <x:v>0.038461538461538464</x:v>
      </x:c>
      <x:c r="I14" s="40" t="n">
        <x:f>IF(G14&gt;0,100/(G14+100),ABS(G14)/(ABS(G14)+100))</x:f>
        <x:v>0.11764705882352941</x:v>
      </x:c>
      <x:c r="J14" s="111" t="n">
        <x:f>LN(H14)</x:f>
        <x:v>-3.258096538021482</x:v>
      </x:c>
      <x:c r="K14" s="111" t="n">
        <x:f>LN(I14)</x:f>
        <x:v>-2.1400661634962708</x:v>
      </x:c>
      <x:c r="L14" s="42" t="str">
        <x:v>DraftKings / Caesars</x:v>
      </x:c>
      <x:c r="M14" s="42" t="str">
        <x:v>https://www.foxsports.com/stories/nascar/2026-nascar-odds-atl-spring-race</x:v>
      </x:c>
      <x:c r="N14" s="42" t="str">
        <x:v>https://www.actionnetwork.com/nascar/nascar-odds-picks-predictions-echopark-expert-picks-autotrader-400-sun-feb-22</x:v>
      </x:c>
      <x:c r="O14" s="42" t="str">
        <x:v>Cross-book, race day</x:v>
      </x:c>
    </x:row>
    <x:row r="15">
      <x:c r="A15" t="n">
        <x:v>2026</x:v>
      </x:c>
      <x:c r="B15" t="n">
        <x:v>7</x:v>
      </x:c>
      <x:c r="C15" s="34" t="n">
        <x:v>46110</x:v>
      </x:c>
      <x:c r="D15" s="42" t="str">
        <x:v>Cook Out 400</x:v>
      </x:c>
      <x:c r="E15" s="42" t="str">
        <x:v>Ryan Blaney</x:v>
      </x:c>
      <x:c r="F15" s="36" t="n">
        <x:v>500</x:v>
      </x:c>
      <x:c r="G15" s="36" t="n">
        <x:v>160</x:v>
      </x:c>
      <x:c r="H15" s="40" t="n">
        <x:f>IF(F15&gt;0,100/(F15+100),ABS(F15)/(ABS(F15)+100))</x:f>
        <x:v>0.16666666666666666</x:v>
      </x:c>
      <x:c r="I15" s="40" t="n">
        <x:f>IF(G15&gt;0,100/(G15+100),ABS(G15)/(ABS(G15)+100))</x:f>
        <x:v>0.38461538461538464</x:v>
      </x:c>
      <x:c r="J15" s="111" t="n">
        <x:f>LN(H15)</x:f>
        <x:v>-1.791759469228055</x:v>
      </x:c>
      <x:c r="K15" s="111" t="n">
        <x:f>LN(I15)</x:f>
        <x:v>-0.9555114450274363</x:v>
      </x:c>
      <x:c r="L15" s="42" t="str">
        <x:v>DraftKings / bet365</x:v>
      </x:c>
      <x:c r="M15" s="42" t="str">
        <x:v>https://www.foxsports.com/stories/nascar/2026-nascar-odds-cook-out-400-martinsville</x:v>
      </x:c>
      <x:c r="N15" s="42" t="str">
        <x:v>https://www.sportsbookreview.com/picks/more-sports/nascar-cook-out-400-predictions-odds-picks-props-best-bets-martinsville-2026/</x:v>
      </x:c>
      <x:c r="O15" s="42" t="str">
        <x:v>Cross-book, race weekend</x:v>
      </x:c>
    </x:row>
  </x:sheetData>
  <x:pageMargins left="0.7" right="0.7" top="0.75" bottom="0.75" header="0.3" footer="0.3"/>
  <x:tableParts count="1">
    <x:tablePart xmlns:r="http://schemas.openxmlformats.org/officeDocument/2006/relationships" r:id="R74a3c27442fe482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28" hidden="0" customWidth="1"/>
    <x:col min="5" max="5" width="27" hidden="0" customWidth="1"/>
    <x:col min="6" max="6" width="21" hidden="0" customWidth="1"/>
    <x:col min="7" max="7" width="14" hidden="0" customWidth="1"/>
    <x:col min="8" max="8" width="18" hidden="0" customWidth="1"/>
    <x:col min="9" max="9" width="20" hidden="0" customWidth="1"/>
    <x:col min="10" max="10" width="19" hidden="0" customWidth="1"/>
    <x:col min="11" max="11" width="14" hidden="0" customWidth="1"/>
    <x:col min="12" max="12" width="42" hidden="0" customWidth="1"/>
    <x:col min="13" max="13" width="42" hidden="0" customWidth="1"/>
  </x:cols>
  <x:sheetData>
    <x:row r="1" ht="34" customHeight="1">
      <x:c r="A1" s="117" t="str">
        <x:v>Season</x:v>
      </x:c>
      <x:c r="B1" s="117" t="str">
        <x:v>Race #</x:v>
      </x:c>
      <x:c r="C1" s="117" t="str">
        <x:v>Race Date</x:v>
      </x:c>
      <x:c r="D1" s="117" t="str">
        <x:v>Race</x:v>
      </x:c>
      <x:c r="E1" s="117" t="str">
        <x:v>Track</x:v>
      </x:c>
      <x:c r="F1" s="117" t="str">
        <x:v>Driver</x:v>
      </x:c>
      <x:c r="G1" s="117" t="str">
        <x:v>Winner Odds</x:v>
      </x:c>
      <x:c r="H1" s="117" t="str">
        <x:v>Winner Implied Prob.</x:v>
      </x:c>
      <x:c r="I1" s="117" t="str">
        <x:v>Estimated Top-3 Prob.</x:v>
      </x:c>
      <x:c r="J1" s="117" t="str">
        <x:v>Estimated Top-3 Odds</x:v>
      </x:c>
      <x:c r="K1" s="117" t="str">
        <x:v>Estimate Status</x:v>
      </x:c>
      <x:c r="L1" s="117" t="str">
        <x:v>Model</x:v>
      </x:c>
      <x:c r="M1" s="117" t="str">
        <x:v>Winner Source</x:v>
      </x:c>
    </x:row>
    <x:row r="2">
      <x:c r="A2" t="n">
        <x:f>Winner_Odds!A2</x:f>
        <x:v>2025</x:v>
      </x:c>
      <x:c r="B2" t="n">
        <x:f>Winner_Odds!B2</x:f>
        <x:v>1</x:v>
      </x:c>
      <x:c r="C2" s="34" t="n">
        <x:f>Winner_Odds!C2</x:f>
        <x:v>45704</x:v>
      </x:c>
      <x:c r="D2" s="42" t="str">
        <x:f>Winner_Odds!D2</x:f>
        <x:v>Daytona 500</x:v>
      </x:c>
      <x:c r="E2" s="42" t="str">
        <x:f>Winner_Odds!E2</x:f>
        <x:v>Daytona International Speedway</x:v>
      </x:c>
      <x:c r="F2" s="42" t="str">
        <x:f>Winner_Odds!F2</x:f>
        <x:v>William Byron</x:v>
      </x:c>
      <x:c r="G2" s="36" t="n">
        <x:f>Winner_Odds!G2</x:f>
        <x:v>1400</x:v>
      </x:c>
      <x:c r="H2" s="40" t="n">
        <x:f>Winner_Odds!I2</x:f>
        <x:v>0.06666666666666667</x:v>
      </x:c>
      <x:c r="I2" s="40" t="n">
        <x:f>MAX(H2,MIN(Top3_Calibration!$R$4,EXP(Top3_Calibration!$R$3)*POWER(H2,Top3_Calibration!$R$2)))</x:f>
        <x:v>0.1609145580163389</x:v>
      </x:c>
      <x:c r="J2" s="36" t="n">
        <x:f>IF(I2&gt;=0.5,-ROUND((100*I2/(1-I2))/5,0)*5,ROUND((100*(1-I2)/I2)/5,0)*5)</x:f>
        <x:v>520</x:v>
      </x:c>
      <x:c r="K2" t="str">
        <x:v>Estimated</x:v>
      </x:c>
      <x:c r="L2" s="42" t="str">
        <x:v>Power-law fit to matched public Win/Top-3 quotes; 88% cap</x:v>
      </x:c>
      <x:c r="M2" s="42" t="str">
        <x:f>Winner_Odds!L2</x:f>
        <x:v>https://www.foxsports.com/stories/nascar/2025-daytona-500-odds</x:v>
      </x:c>
    </x:row>
    <x:row r="3">
      <x:c r="A3" t="n">
        <x:f>Winner_Odds!A3</x:f>
        <x:v>2025</x:v>
      </x:c>
      <x:c r="B3" t="n">
        <x:f>Winner_Odds!B3</x:f>
        <x:v>2</x:v>
      </x:c>
      <x:c r="C3" s="34" t="n">
        <x:f>Winner_Odds!C3</x:f>
        <x:v>45711</x:v>
      </x:c>
      <x:c r="D3" s="42" t="str">
        <x:f>Winner_Odds!D3</x:f>
        <x:v>Ambetter Health 400</x:v>
      </x:c>
      <x:c r="E3" s="42" t="str">
        <x:f>Winner_Odds!E3</x:f>
        <x:v>Atlanta Motor Speedway</x:v>
      </x:c>
      <x:c r="F3" s="42" t="str">
        <x:f>Winner_Odds!F3</x:f>
        <x:v>Christopher Bell</x:v>
      </x:c>
      <x:c r="G3" s="36" t="n">
        <x:f>Winner_Odds!G3</x:f>
        <x:v>2500</x:v>
      </x:c>
      <x:c r="H3" s="40" t="n">
        <x:f>Winner_Odds!I3</x:f>
        <x:v>0.038461538461538464</x:v>
      </x:c>
      <x:c r="I3" s="40" t="n">
        <x:f>MAX(H3,MIN(Top3_Calibration!$R$4,EXP(Top3_Calibration!$R$3)*POWER(H3,Top3_Calibration!$R$2)))</x:f>
        <x:v>0.10471435788974233</x:v>
      </x:c>
      <x:c r="J3" s="36" t="n">
        <x:f>IF(I3&gt;=0.5,-ROUND((100*I3/(1-I3))/5,0)*5,ROUND((100*(1-I3)/I3)/5,0)*5)</x:f>
        <x:v>855</x:v>
      </x:c>
      <x:c r="K3" t="str">
        <x:v>Estimated</x:v>
      </x:c>
      <x:c r="L3" s="42" t="str">
        <x:v>Power-law fit to matched public Win/Top-3 quotes; 88% cap</x:v>
      </x:c>
      <x:c r="M3" s="42" t="str">
        <x:f>Winner_Odds!L3</x:f>
        <x:v>https://www.foxsports.com/stories/nascar/2025-nascar-odds-ambetter-health-400</x:v>
      </x:c>
    </x:row>
    <x:row r="4">
      <x:c r="A4" t="n">
        <x:f>Winner_Odds!A4</x:f>
        <x:v>2025</x:v>
      </x:c>
      <x:c r="B4" t="n">
        <x:f>Winner_Odds!B4</x:f>
        <x:v>3</x:v>
      </x:c>
      <x:c r="C4" s="34" t="n">
        <x:f>Winner_Odds!C4</x:f>
        <x:v>45718</x:v>
      </x:c>
      <x:c r="D4" s="42" t="str">
        <x:f>Winner_Odds!D4</x:f>
        <x:v>EchoPark Automotive Grand Prix</x:v>
      </x:c>
      <x:c r="E4" s="42" t="str">
        <x:f>Winner_Odds!E4</x:f>
        <x:v>Circuit of the Americas</x:v>
      </x:c>
      <x:c r="F4" s="42" t="str">
        <x:f>Winner_Odds!F4</x:f>
        <x:v>Christopher Bell</x:v>
      </x:c>
      <x:c r="G4" s="36" t="n">
        <x:f>Winner_Odds!G4</x:f>
        <x:v>1500</x:v>
      </x:c>
      <x:c r="H4" s="40" t="n">
        <x:f>Winner_Odds!I4</x:f>
        <x:v>0.0625</x:v>
      </x:c>
      <x:c r="I4" s="40" t="n">
        <x:f>MAX(H4,MIN(Top3_Calibration!$R$4,EXP(Top3_Calibration!$R$3)*POWER(H4,Top3_Calibration!$R$2)))</x:f>
        <x:v>0.1530038291431407</x:v>
      </x:c>
      <x:c r="J4" s="36" t="n">
        <x:f>IF(I4&gt;=0.5,-ROUND((100*I4/(1-I4))/5,0)*5,ROUND((100*(1-I4)/I4)/5,0)*5)</x:f>
        <x:v>555</x:v>
      </x:c>
      <x:c r="K4" t="str">
        <x:v>Estimated</x:v>
      </x:c>
      <x:c r="L4" s="42" t="str">
        <x:v>Power-law fit to matched public Win/Top-3 quotes; 88% cap</x:v>
      </x:c>
      <x:c r="M4" s="42" t="str">
        <x:f>Winner_Odds!L4</x:f>
        <x:v>https://www.foxsports.com/stories/nascar/2025-nascar-odds-cota</x:v>
      </x:c>
    </x:row>
    <x:row r="5">
      <x:c r="A5" t="n">
        <x:f>Winner_Odds!A5</x:f>
        <x:v>2025</x:v>
      </x:c>
      <x:c r="B5" t="n">
        <x:f>Winner_Odds!B5</x:f>
        <x:v>4</x:v>
      </x:c>
      <x:c r="C5" s="34" t="n">
        <x:f>Winner_Odds!C5</x:f>
        <x:v>45725</x:v>
      </x:c>
      <x:c r="D5" s="42" t="str">
        <x:f>Winner_Odds!D5</x:f>
        <x:v>Shriners Children's 500</x:v>
      </x:c>
      <x:c r="E5" s="42" t="str">
        <x:f>Winner_Odds!E5</x:f>
        <x:v>Phoenix Raceway</x:v>
      </x:c>
      <x:c r="F5" s="42" t="str">
        <x:f>Winner_Odds!F5</x:f>
        <x:v>Christopher Bell</x:v>
      </x:c>
      <x:c r="G5" s="36" t="n">
        <x:f>Winner_Odds!G5</x:f>
        <x:v>650</x:v>
      </x:c>
      <x:c r="H5" s="40" t="n">
        <x:f>Winner_Odds!I5</x:f>
        <x:v>0.13333333333333333</x:v>
      </x:c>
      <x:c r="I5" s="40" t="n">
        <x:f>MAX(H5,MIN(Top3_Calibration!$R$4,EXP(Top3_Calibration!$R$3)*POWER(H5,Top3_Calibration!$R$2)))</x:f>
        <x:v>0.2765207511403551</x:v>
      </x:c>
      <x:c r="J5" s="36" t="n">
        <x:f>IF(I5&gt;=0.5,-ROUND((100*I5/(1-I5))/5,0)*5,ROUND((100*(1-I5)/I5)/5,0)*5)</x:f>
        <x:v>260</x:v>
      </x:c>
      <x:c r="K5" t="str">
        <x:v>Estimated</x:v>
      </x:c>
      <x:c r="L5" s="42" t="str">
        <x:v>Power-law fit to matched public Win/Top-3 quotes; 88% cap</x:v>
      </x:c>
      <x:c r="M5" s="42" t="str">
        <x:f>Winner_Odds!L5</x:f>
        <x:v>https://www.foxsports.com/stories/nascar/2025-phoenix-shriners-childrens-500-odds</x:v>
      </x:c>
    </x:row>
    <x:row r="6">
      <x:c r="A6" t="n">
        <x:f>Winner_Odds!A6</x:f>
        <x:v>2025</x:v>
      </x:c>
      <x:c r="B6" t="n">
        <x:f>Winner_Odds!B6</x:f>
        <x:v>5</x:v>
      </x:c>
      <x:c r="C6" s="34" t="n">
        <x:f>Winner_Odds!C6</x:f>
        <x:v>45732</x:v>
      </x:c>
      <x:c r="D6" s="42" t="str">
        <x:f>Winner_Odds!D6</x:f>
        <x:v>Pennzoil 400</x:v>
      </x:c>
      <x:c r="E6" s="42" t="str">
        <x:f>Winner_Odds!E6</x:f>
        <x:v>Las Vegas Motor Speedway</x:v>
      </x:c>
      <x:c r="F6" s="42" t="str">
        <x:f>Winner_Odds!F6</x:f>
        <x:v>Josh Berry</x:v>
      </x:c>
      <x:c r="G6" s="36" t="n">
        <x:f>Winner_Odds!G6</x:f>
        <x:v>4000</x:v>
      </x:c>
      <x:c r="H6" s="40" t="n">
        <x:f>Winner_Odds!I6</x:f>
        <x:v>0.024390243902439025</x:v>
      </x:c>
      <x:c r="I6" s="40" t="n">
        <x:f>MAX(H6,MIN(Top3_Calibration!$R$4,EXP(Top3_Calibration!$R$3)*POWER(H6,Top3_Calibration!$R$2)))</x:f>
        <x:v>0.07336650836191809</x:v>
      </x:c>
      <x:c r="J6" s="36" t="n">
        <x:f>IF(I6&gt;=0.5,-ROUND((100*I6/(1-I6))/5,0)*5,ROUND((100*(1-I6)/I6)/5,0)*5)</x:f>
        <x:v>1265</x:v>
      </x:c>
      <x:c r="K6" t="str">
        <x:v>Estimated</x:v>
      </x:c>
      <x:c r="L6" s="42" t="str">
        <x:v>Power-law fit to matched public Win/Top-3 quotes; 88% cap</x:v>
      </x:c>
      <x:c r="M6" s="42" t="str">
        <x:f>Winner_Odds!L6</x:f>
        <x:v>https://www.foxsports.com/stories/nascar/2025-pennzoil-400-odds</x:v>
      </x:c>
    </x:row>
    <x:row r="7">
      <x:c r="A7" t="n">
        <x:f>Winner_Odds!A7</x:f>
        <x:v>2025</x:v>
      </x:c>
      <x:c r="B7" t="n">
        <x:f>Winner_Odds!B7</x:f>
        <x:v>6</x:v>
      </x:c>
      <x:c r="C7" s="34" t="n">
        <x:f>Winner_Odds!C7</x:f>
        <x:v>45739</x:v>
      </x:c>
      <x:c r="D7" s="42" t="str">
        <x:f>Winner_Odds!D7</x:f>
        <x:v>Straight Talk Wireless 400</x:v>
      </x:c>
      <x:c r="E7" s="42" t="str">
        <x:f>Winner_Odds!E7</x:f>
        <x:v>Homestead-Miami Speedway</x:v>
      </x:c>
      <x:c r="F7" s="42" t="str">
        <x:f>Winner_Odds!F7</x:f>
        <x:v>Kyle Larson</x:v>
      </x:c>
      <x:c r="G7" s="36" t="n">
        <x:f>Winner_Odds!G7</x:f>
        <x:v>285</x:v>
      </x:c>
      <x:c r="H7" s="40" t="n">
        <x:f>Winner_Odds!I7</x:f>
        <x:v>0.2597402597402597</x:v>
      </x:c>
      <x:c r="I7" s="40" t="n">
        <x:f>MAX(H7,MIN(Top3_Calibration!$R$4,EXP(Top3_Calibration!$R$3)*POWER(H7,Top3_Calibration!$R$2)))</x:f>
        <x:v>0.4655138940301318</x:v>
      </x:c>
      <x:c r="J7" s="36" t="n">
        <x:f>IF(I7&gt;=0.5,-ROUND((100*I7/(1-I7))/5,0)*5,ROUND((100*(1-I7)/I7)/5,0)*5)</x:f>
        <x:v>115</x:v>
      </x:c>
      <x:c r="K7" t="str">
        <x:v>Estimated</x:v>
      </x:c>
      <x:c r="L7" s="42" t="str">
        <x:v>Power-law fit to matched public Win/Top-3 quotes; 88% cap</x:v>
      </x:c>
      <x:c r="M7" s="42" t="str">
        <x:f>Winner_Odds!L7</x:f>
        <x:v>https://www.foxsports.com/stories/nascar/2025-homestead-miami-straight-talk-wireless-odds</x:v>
      </x:c>
    </x:row>
    <x:row r="8">
      <x:c r="A8" t="n">
        <x:f>Winner_Odds!A8</x:f>
        <x:v>2025</x:v>
      </x:c>
      <x:c r="B8" t="n">
        <x:f>Winner_Odds!B8</x:f>
        <x:v>7</x:v>
      </x:c>
      <x:c r="C8" s="34" t="n">
        <x:f>Winner_Odds!C8</x:f>
        <x:v>45746</x:v>
      </x:c>
      <x:c r="D8" s="42" t="str">
        <x:f>Winner_Odds!D8</x:f>
        <x:v>Cook Out 400</x:v>
      </x:c>
      <x:c r="E8" s="42" t="str">
        <x:f>Winner_Odds!E8</x:f>
        <x:v>Martinsville Speedway</x:v>
      </x:c>
      <x:c r="F8" s="42" t="str">
        <x:f>Winner_Odds!F8</x:f>
        <x:v>Denny Hamlin</x:v>
      </x:c>
      <x:c r="G8" s="36" t="n">
        <x:f>Winner_Odds!G8</x:f>
        <x:v>550</x:v>
      </x:c>
      <x:c r="H8" s="40" t="n">
        <x:f>Winner_Odds!I8</x:f>
        <x:v>0.15384615384615385</x:v>
      </x:c>
      <x:c r="I8" s="40" t="n">
        <x:f>MAX(H8,MIN(Top3_Calibration!$R$4,EXP(Top3_Calibration!$R$3)*POWER(H8,Top3_Calibration!$R$2)))</x:f>
        <x:v>0.3092224497261382</x:v>
      </x:c>
      <x:c r="J8" s="36" t="n">
        <x:f>IF(I8&gt;=0.5,-ROUND((100*I8/(1-I8))/5,0)*5,ROUND((100*(1-I8)/I8)/5,0)*5)</x:f>
        <x:v>225</x:v>
      </x:c>
      <x:c r="K8" t="str">
        <x:v>Estimated</x:v>
      </x:c>
      <x:c r="L8" s="42" t="str">
        <x:v>Power-law fit to matched public Win/Top-3 quotes; 88% cap</x:v>
      </x:c>
      <x:c r="M8" s="42" t="str">
        <x:f>Winner_Odds!L8</x:f>
        <x:v>https://www.foxsports.com/stories/nascar/martinsville-spring-race-odds-cook-out-400</x:v>
      </x:c>
    </x:row>
    <x:row r="9">
      <x:c r="A9" t="n">
        <x:f>Winner_Odds!A9</x:f>
        <x:v>2025</x:v>
      </x:c>
      <x:c r="B9" t="n">
        <x:f>Winner_Odds!B9</x:f>
        <x:v>8</x:v>
      </x:c>
      <x:c r="C9" s="34" t="n">
        <x:f>Winner_Odds!C9</x:f>
        <x:v>45753</x:v>
      </x:c>
      <x:c r="D9" s="42" t="str">
        <x:f>Winner_Odds!D9</x:f>
        <x:v>Goodyear 400</x:v>
      </x:c>
      <x:c r="E9" s="42" t="str">
        <x:f>Winner_Odds!E9</x:f>
        <x:v>Darlington Raceway</x:v>
      </x:c>
      <x:c r="F9" s="42" t="str">
        <x:f>Winner_Odds!F9</x:f>
        <x:v>Denny Hamlin</x:v>
      </x:c>
      <x:c r="G9" s="36" t="n">
        <x:f>Winner_Odds!G9</x:f>
        <x:v>800</x:v>
      </x:c>
      <x:c r="H9" s="40" t="n">
        <x:f>Winner_Odds!I9</x:f>
        <x:v>0.1111111111111111</x:v>
      </x:c>
      <x:c r="I9" s="40" t="n">
        <x:f>MAX(H9,MIN(Top3_Calibration!$R$4,EXP(Top3_Calibration!$R$3)*POWER(H9,Top3_Calibration!$R$2)))</x:f>
        <x:v>0.23981691896832774</x:v>
      </x:c>
      <x:c r="J9" s="36" t="n">
        <x:f>IF(I9&gt;=0.5,-ROUND((100*I9/(1-I9))/5,0)*5,ROUND((100*(1-I9)/I9)/5,0)*5)</x:f>
        <x:v>315</x:v>
      </x:c>
      <x:c r="K9" t="str">
        <x:v>Estimated</x:v>
      </x:c>
      <x:c r="L9" s="42" t="str">
        <x:v>Power-law fit to matched public Win/Top-3 quotes; 88% cap</x:v>
      </x:c>
      <x:c r="M9" s="42" t="str">
        <x:f>Winner_Odds!L9</x:f>
        <x:v>https://www.foxsports.com/stories/nascar/nascar-darlington-spring-race-odds-goodyear-400</x:v>
      </x:c>
    </x:row>
    <x:row r="10">
      <x:c r="A10" t="n">
        <x:f>Winner_Odds!A10</x:f>
        <x:v>2025</x:v>
      </x:c>
      <x:c r="B10" t="n">
        <x:f>Winner_Odds!B10</x:f>
        <x:v>9</x:v>
      </x:c>
      <x:c r="C10" s="34" t="n">
        <x:f>Winner_Odds!C10</x:f>
        <x:v>45760</x:v>
      </x:c>
      <x:c r="D10" s="42" t="str">
        <x:f>Winner_Odds!D10</x:f>
        <x:v>Food City 500</x:v>
      </x:c>
      <x:c r="E10" s="42" t="str">
        <x:f>Winner_Odds!E10</x:f>
        <x:v>Bristol Motor Speedway</x:v>
      </x:c>
      <x:c r="F10" s="42" t="str">
        <x:f>Winner_Odds!F10</x:f>
        <x:v>Kyle Larson</x:v>
      </x:c>
      <x:c r="G10" s="36" t="n">
        <x:f>Winner_Odds!G10</x:f>
        <x:v>285</x:v>
      </x:c>
      <x:c r="H10" s="40" t="n">
        <x:f>Winner_Odds!I10</x:f>
        <x:v>0.2597402597402597</x:v>
      </x:c>
      <x:c r="I10" s="40" t="n">
        <x:f>MAX(H10,MIN(Top3_Calibration!$R$4,EXP(Top3_Calibration!$R$3)*POWER(H10,Top3_Calibration!$R$2)))</x:f>
        <x:v>0.4655138940301318</x:v>
      </x:c>
      <x:c r="J10" s="36" t="n">
        <x:f>IF(I10&gt;=0.5,-ROUND((100*I10/(1-I10))/5,0)*5,ROUND((100*(1-I10)/I10)/5,0)*5)</x:f>
        <x:v>115</x:v>
      </x:c>
      <x:c r="K10" t="str">
        <x:v>Estimated</x:v>
      </x:c>
      <x:c r="L10" s="42" t="str">
        <x:v>Power-law fit to matched public Win/Top-3 quotes; 88% cap</x:v>
      </x:c>
      <x:c r="M10" s="42" t="str">
        <x:f>Winner_Odds!L10</x:f>
        <x:v>https://www.foxsports.com/stories/nascar/bristol-spring-race-odds-food-city-500</x:v>
      </x:c>
    </x:row>
    <x:row r="11">
      <x:c r="A11" t="n">
        <x:f>Winner_Odds!A11</x:f>
        <x:v>2025</x:v>
      </x:c>
      <x:c r="B11" t="n">
        <x:f>Winner_Odds!B11</x:f>
        <x:v>10</x:v>
      </x:c>
      <x:c r="C11" s="34" t="n">
        <x:f>Winner_Odds!C11</x:f>
        <x:v>45774</x:v>
      </x:c>
      <x:c r="D11" s="42" t="str">
        <x:f>Winner_Odds!D11</x:f>
        <x:v>Jack Link's 500</x:v>
      </x:c>
      <x:c r="E11" s="42" t="str">
        <x:f>Winner_Odds!E11</x:f>
        <x:v>Talladega Superspeedway</x:v>
      </x:c>
      <x:c r="F11" s="42" t="str">
        <x:f>Winner_Odds!F11</x:f>
        <x:v>Austin Cindric</x:v>
      </x:c>
      <x:c r="G11" s="36" t="n">
        <x:f>Winner_Odds!G11</x:f>
        <x:v>1200</x:v>
      </x:c>
      <x:c r="H11" s="40" t="n">
        <x:f>Winner_Odds!I11</x:f>
        <x:v>0.07692307692307693</x:v>
      </x:c>
      <x:c r="I11" s="40" t="n">
        <x:f>MAX(H11,MIN(Top3_Calibration!$R$4,EXP(Top3_Calibration!$R$3)*POWER(H11,Top3_Calibration!$R$2)))</x:f>
        <x:v>0.1799445199725896</x:v>
      </x:c>
      <x:c r="J11" s="36" t="n">
        <x:f>IF(I11&gt;=0.5,-ROUND((100*I11/(1-I11))/5,0)*5,ROUND((100*(1-I11)/I11)/5,0)*5)</x:f>
        <x:v>455</x:v>
      </x:c>
      <x:c r="K11" t="str">
        <x:v>Estimated</x:v>
      </x:c>
      <x:c r="L11" s="42" t="str">
        <x:v>Power-law fit to matched public Win/Top-3 quotes; 88% cap</x:v>
      </x:c>
      <x:c r="M11" s="42" t="str">
        <x:f>Winner_Odds!L11</x:f>
        <x:v>https://www.foxsports.com/stories/nascar/talladega-jack-links-500-odds</x:v>
      </x:c>
    </x:row>
    <x:row r="12">
      <x:c r="A12" t="n">
        <x:f>Winner_Odds!A12</x:f>
        <x:v>2025</x:v>
      </x:c>
      <x:c r="B12" t="n">
        <x:f>Winner_Odds!B12</x:f>
        <x:v>11</x:v>
      </x:c>
      <x:c r="C12" s="34" t="n">
        <x:f>Winner_Odds!C12</x:f>
        <x:v>45781</x:v>
      </x:c>
      <x:c r="D12" s="42" t="str">
        <x:f>Winner_Odds!D12</x:f>
        <x:v>Würth 400</x:v>
      </x:c>
      <x:c r="E12" s="42" t="str">
        <x:f>Winner_Odds!E12</x:f>
        <x:v>Texas Motor Speedway</x:v>
      </x:c>
      <x:c r="F12" s="42" t="str">
        <x:f>Winner_Odds!F12</x:f>
        <x:v>Joey Logano</x:v>
      </x:c>
      <x:c r="G12" s="36" t="n">
        <x:f>Winner_Odds!G12</x:f>
        <x:v>2000</x:v>
      </x:c>
      <x:c r="H12" s="40" t="n">
        <x:f>Winner_Odds!I12</x:f>
        <x:v>0.047619047619047616</x:v>
      </x:c>
      <x:c r="I12" s="40" t="n">
        <x:f>MAX(H12,MIN(Top3_Calibration!$R$4,EXP(Top3_Calibration!$R$3)*POWER(H12,Top3_Calibration!$R$2)))</x:f>
        <x:v>0.1237245167134636</x:v>
      </x:c>
      <x:c r="J12" s="36" t="n">
        <x:f>IF(I12&gt;=0.5,-ROUND((100*I12/(1-I12))/5,0)*5,ROUND((100*(1-I12)/I12)/5,0)*5)</x:f>
        <x:v>710</x:v>
      </x:c>
      <x:c r="K12" t="str">
        <x:v>Estimated</x:v>
      </x:c>
      <x:c r="L12" s="42" t="str">
        <x:v>Power-law fit to matched public Win/Top-3 quotes; 88% cap</x:v>
      </x:c>
      <x:c r="M12" s="42" t="str">
        <x:f>Winner_Odds!L12</x:f>
        <x:v>https://www.foxsports.com/stories/nascar/texas-motor-speedway-wurth-400-2025</x:v>
      </x:c>
    </x:row>
    <x:row r="13">
      <x:c r="A13" t="n">
        <x:f>Winner_Odds!A13</x:f>
        <x:v>2025</x:v>
      </x:c>
      <x:c r="B13" t="n">
        <x:f>Winner_Odds!B13</x:f>
        <x:v>12</x:v>
      </x:c>
      <x:c r="C13" s="34" t="n">
        <x:f>Winner_Odds!C13</x:f>
        <x:v>45788</x:v>
      </x:c>
      <x:c r="D13" s="42" t="str">
        <x:f>Winner_Odds!D13</x:f>
        <x:v>AdventHealth 400</x:v>
      </x:c>
      <x:c r="E13" s="42" t="str">
        <x:f>Winner_Odds!E13</x:f>
        <x:v>Kansas Speedway</x:v>
      </x:c>
      <x:c r="F13" s="42" t="str">
        <x:f>Winner_Odds!F13</x:f>
        <x:v>Kyle Larson</x:v>
      </x:c>
      <x:c r="G13" s="36" t="n">
        <x:f>Winner_Odds!G13</x:f>
        <x:v>250</x:v>
      </x:c>
      <x:c r="H13" s="40" t="n">
        <x:f>Winner_Odds!I13</x:f>
        <x:v>0.2857142857142857</x:v>
      </x:c>
      <x:c r="I13" s="40" t="n">
        <x:f>MAX(H13,MIN(Top3_Calibration!$R$4,EXP(Top3_Calibration!$R$3)*POWER(H13,Top3_Calibration!$R$2)))</x:f>
        <x:v>0.5014921971282039</x:v>
      </x:c>
      <x:c r="J13" s="36" t="n">
        <x:f>IF(I13&gt;=0.5,-ROUND((100*I13/(1-I13))/5,0)*5,ROUND((100*(1-I13)/I13)/5,0)*5)</x:f>
        <x:v>-100</x:v>
      </x:c>
      <x:c r="K13" t="str">
        <x:v>Estimated</x:v>
      </x:c>
      <x:c r="L13" s="42" t="str">
        <x:v>Power-law fit to matched public Win/Top-3 quotes; 88% cap</x:v>
      </x:c>
      <x:c r="M13" s="42" t="str">
        <x:f>Winner_Odds!L13</x:f>
        <x:v>https://www.foxsports.com/stories/nascar/kansas-adventhealth-400-odds-2025</x:v>
      </x:c>
    </x:row>
    <x:row r="14">
      <x:c r="A14" t="n">
        <x:f>Winner_Odds!A14</x:f>
        <x:v>2025</x:v>
      </x:c>
      <x:c r="B14" t="n">
        <x:f>Winner_Odds!B14</x:f>
        <x:v>13</x:v>
      </x:c>
      <x:c r="C14" s="34" t="n">
        <x:f>Winner_Odds!C14</x:f>
        <x:v>45802</x:v>
      </x:c>
      <x:c r="D14" s="42" t="str">
        <x:f>Winner_Odds!D14</x:f>
        <x:v>Coca-Cola 600</x:v>
      </x:c>
      <x:c r="E14" s="42" t="str">
        <x:f>Winner_Odds!E14</x:f>
        <x:v>Charlotte Motor Speedway</x:v>
      </x:c>
      <x:c r="F14" s="42" t="str">
        <x:f>Winner_Odds!F14</x:f>
        <x:v>Ross Chastain</x:v>
      </x:c>
      <x:c r="G14" s="36" t="n">
        <x:f>Winner_Odds!G14</x:f>
        <x:v>1800</x:v>
      </x:c>
      <x:c r="H14" s="40" t="n">
        <x:f>Winner_Odds!I14</x:f>
        <x:v>0.05263157894736842</x:v>
      </x:c>
      <x:c r="I14" s="40" t="n">
        <x:f>MAX(H14,MIN(Top3_Calibration!$R$4,EXP(Top3_Calibration!$R$3)*POWER(H14,Top3_Calibration!$R$2)))</x:f>
        <x:v>0.13378471897658617</x:v>
      </x:c>
      <x:c r="J14" s="36" t="n">
        <x:f>IF(I14&gt;=0.5,-ROUND((100*I14/(1-I14))/5,0)*5,ROUND((100*(1-I14)/I14)/5,0)*5)</x:f>
        <x:v>645</x:v>
      </x:c>
      <x:c r="K14" t="str">
        <x:v>Estimated</x:v>
      </x:c>
      <x:c r="L14" s="42" t="str">
        <x:v>Power-law fit to matched public Win/Top-3 quotes; 88% cap</x:v>
      </x:c>
      <x:c r="M14" s="42" t="str">
        <x:f>Winner_Odds!L14</x:f>
        <x:v>https://www.foxsports.com/stories/nascar/2026-nascar-odds-coke-600</x:v>
      </x:c>
    </x:row>
    <x:row r="15">
      <x:c r="A15" t="n">
        <x:f>Winner_Odds!A15</x:f>
        <x:v>2025</x:v>
      </x:c>
      <x:c r="B15" t="n">
        <x:f>Winner_Odds!B15</x:f>
        <x:v>14</x:v>
      </x:c>
      <x:c r="C15" s="34" t="n">
        <x:f>Winner_Odds!C15</x:f>
        <x:v>45809</x:v>
      </x:c>
      <x:c r="D15" s="42" t="str">
        <x:f>Winner_Odds!D15</x:f>
        <x:v>Cracker Barrel 400</x:v>
      </x:c>
      <x:c r="E15" s="42" t="str">
        <x:f>Winner_Odds!E15</x:f>
        <x:v>Nashville Superspeedway</x:v>
      </x:c>
      <x:c r="F15" s="42" t="str">
        <x:f>Winner_Odds!F15</x:f>
        <x:v>Ryan Blaney</x:v>
      </x:c>
      <x:c r="G15" s="36" t="n">
        <x:f>Winner_Odds!G15</x:f>
        <x:v>800</x:v>
      </x:c>
      <x:c r="H15" s="40" t="n">
        <x:f>Winner_Odds!I15</x:f>
        <x:v>0.1111111111111111</x:v>
      </x:c>
      <x:c r="I15" s="40" t="n">
        <x:f>MAX(H15,MIN(Top3_Calibration!$R$4,EXP(Top3_Calibration!$R$3)*POWER(H15,Top3_Calibration!$R$2)))</x:f>
        <x:v>0.23981691896832774</x:v>
      </x:c>
      <x:c r="J15" s="36" t="n">
        <x:f>IF(I15&gt;=0.5,-ROUND((100*I15/(1-I15))/5,0)*5,ROUND((100*(1-I15)/I15)/5,0)*5)</x:f>
        <x:v>315</x:v>
      </x:c>
      <x:c r="K15" t="str">
        <x:v>Estimated</x:v>
      </x:c>
      <x:c r="L15" s="42" t="str">
        <x:v>Power-law fit to matched public Win/Top-3 quotes; 88% cap</x:v>
      </x:c>
      <x:c r="M15" s="42" t="str">
        <x:f>Winner_Odds!L15</x:f>
        <x:v>https://www.foxsports.com/stories/nascar/2025-nascar-odds-cracker-barrel-400-nashville</x:v>
      </x:c>
    </x:row>
    <x:row r="16">
      <x:c r="A16" t="n">
        <x:f>Winner_Odds!A16</x:f>
        <x:v>2025</x:v>
      </x:c>
      <x:c r="B16" t="n">
        <x:f>Winner_Odds!B16</x:f>
        <x:v>15</x:v>
      </x:c>
      <x:c r="C16" s="34" t="n">
        <x:f>Winner_Odds!C16</x:f>
        <x:v>45816</x:v>
      </x:c>
      <x:c r="D16" s="42" t="str">
        <x:f>Winner_Odds!D16</x:f>
        <x:v>FireKeepers Casino 400</x:v>
      </x:c>
      <x:c r="E16" s="42" t="str">
        <x:f>Winner_Odds!E16</x:f>
        <x:v>Michigan International Speedway</x:v>
      </x:c>
      <x:c r="F16" s="42" t="str">
        <x:f>Winner_Odds!F16</x:f>
        <x:v>Denny Hamlin</x:v>
      </x:c>
      <x:c r="G16" s="36" t="n">
        <x:f>Winner_Odds!G16</x:f>
        <x:v>550</x:v>
      </x:c>
      <x:c r="H16" s="40" t="n">
        <x:f>Winner_Odds!I16</x:f>
        <x:v>0.15384615384615385</x:v>
      </x:c>
      <x:c r="I16" s="40" t="n">
        <x:f>MAX(H16,MIN(Top3_Calibration!$R$4,EXP(Top3_Calibration!$R$3)*POWER(H16,Top3_Calibration!$R$2)))</x:f>
        <x:v>0.3092224497261382</x:v>
      </x:c>
      <x:c r="J16" s="36" t="n">
        <x:f>IF(I16&gt;=0.5,-ROUND((100*I16/(1-I16))/5,0)*5,ROUND((100*(1-I16)/I16)/5,0)*5)</x:f>
        <x:v>225</x:v>
      </x:c>
      <x:c r="K16" t="str">
        <x:v>Estimated</x:v>
      </x:c>
      <x:c r="L16" s="42" t="str">
        <x:v>Power-law fit to matched public Win/Top-3 quotes; 88% cap</x:v>
      </x:c>
      <x:c r="M16" s="42" t="str">
        <x:f>Winner_Odds!L16</x:f>
        <x:v>https://www.foxsports.com/stories/nascar/2025-nascar-odds-michigan-firekeepers-casino-400</x:v>
      </x:c>
    </x:row>
    <x:row r="17">
      <x:c r="A17" t="n">
        <x:f>Winner_Odds!A17</x:f>
        <x:v>2025</x:v>
      </x:c>
      <x:c r="B17" t="n">
        <x:f>Winner_Odds!B17</x:f>
        <x:v>16</x:v>
      </x:c>
      <x:c r="C17" s="34" t="n">
        <x:f>Winner_Odds!C17</x:f>
        <x:v>45823</x:v>
      </x:c>
      <x:c r="D17" s="42" t="str">
        <x:f>Winner_Odds!D17</x:f>
        <x:v>Viva México 250</x:v>
      </x:c>
      <x:c r="E17" s="42" t="str">
        <x:f>Winner_Odds!E17</x:f>
        <x:v>Autódromo Hermanos Rodríguez</x:v>
      </x:c>
      <x:c r="F17" s="42" t="str">
        <x:f>Winner_Odds!F17</x:f>
        <x:v>Shane van Gisbergen</x:v>
      </x:c>
      <x:c r="G17" s="36" t="n">
        <x:f>Winner_Odds!G17</x:f>
        <x:v>200</x:v>
      </x:c>
      <x:c r="H17" s="40" t="n">
        <x:f>Winner_Odds!I17</x:f>
        <x:v>0.3333333333333333</x:v>
      </x:c>
      <x:c r="I17" s="40" t="n">
        <x:f>MAX(H17,MIN(Top3_Calibration!$R$4,EXP(Top3_Calibration!$R$3)*POWER(H17,Top3_Calibration!$R$2)))</x:f>
        <x:v>0.5656604854576058</x:v>
      </x:c>
      <x:c r="J17" s="36" t="n">
        <x:f>IF(I17&gt;=0.5,-ROUND((100*I17/(1-I17))/5,0)*5,ROUND((100*(1-I17)/I17)/5,0)*5)</x:f>
        <x:v>-130</x:v>
      </x:c>
      <x:c r="K17" t="str">
        <x:v>Estimated</x:v>
      </x:c>
      <x:c r="L17" s="42" t="str">
        <x:v>Power-law fit to matched public Win/Top-3 quotes; 88% cap</x:v>
      </x:c>
      <x:c r="M17" s="42" t="str">
        <x:f>Winner_Odds!L17</x:f>
        <x:v>https://www.foxsports.com/stories/nascar/2025-nascar-odds-shane-van-gisbergen-favorite-mexico</x:v>
      </x:c>
    </x:row>
    <x:row r="18">
      <x:c r="A18" t="n">
        <x:f>Winner_Odds!A18</x:f>
        <x:v>2025</x:v>
      </x:c>
      <x:c r="B18" t="n">
        <x:f>Winner_Odds!B18</x:f>
        <x:v>17</x:v>
      </x:c>
      <x:c r="C18" s="34" t="n">
        <x:f>Winner_Odds!C18</x:f>
        <x:v>45830</x:v>
      </x:c>
      <x:c r="D18" s="42" t="str">
        <x:f>Winner_Odds!D18</x:f>
        <x:v>The Great American Getaway 400</x:v>
      </x:c>
      <x:c r="E18" s="42" t="str">
        <x:f>Winner_Odds!E18</x:f>
        <x:v>Pocono Raceway</x:v>
      </x:c>
      <x:c r="F18" s="42" t="str">
        <x:f>Winner_Odds!F18</x:f>
        <x:v>Chase Briscoe</x:v>
      </x:c>
      <x:c r="G18" s="36" t="n">
        <x:f>Winner_Odds!G18</x:f>
        <x:v>2200</x:v>
      </x:c>
      <x:c r="H18" s="40" t="n">
        <x:f>Winner_Odds!I18</x:f>
        <x:v>0.043478260869565216</x:v>
      </x:c>
      <x:c r="I18" s="40" t="n">
        <x:f>MAX(H18,MIN(Top3_Calibration!$R$4,EXP(Top3_Calibration!$R$3)*POWER(H18,Top3_Calibration!$R$2)))</x:f>
        <x:v>0.11523805646467243</x:v>
      </x:c>
      <x:c r="J18" s="36" t="n">
        <x:f>IF(I18&gt;=0.5,-ROUND((100*I18/(1-I18))/5,0)*5,ROUND((100*(1-I18)/I18)/5,0)*5)</x:f>
        <x:v>770</x:v>
      </x:c>
      <x:c r="K18" t="str">
        <x:v>Estimated</x:v>
      </x:c>
      <x:c r="L18" s="42" t="str">
        <x:v>Power-law fit to matched public Win/Top-3 quotes; 88% cap</x:v>
      </x:c>
      <x:c r="M18" s="42" t="str">
        <x:f>Winner_Odds!L18</x:f>
        <x:v>https://www.foxsports.com/stories/nascar/pocono-odds-2025</x:v>
      </x:c>
    </x:row>
    <x:row r="19">
      <x:c r="A19" t="n">
        <x:f>Winner_Odds!A19</x:f>
        <x:v>2025</x:v>
      </x:c>
      <x:c r="B19" t="n">
        <x:f>Winner_Odds!B19</x:f>
        <x:v>18</x:v>
      </x:c>
      <x:c r="C19" s="34" t="n">
        <x:f>Winner_Odds!C19</x:f>
        <x:v>45836</x:v>
      </x:c>
      <x:c r="D19" s="42" t="str">
        <x:f>Winner_Odds!D19</x:f>
        <x:v>Quaker State 400</x:v>
      </x:c>
      <x:c r="E19" s="42" t="str">
        <x:f>Winner_Odds!E19</x:f>
        <x:v>Atlanta Motor Speedway</x:v>
      </x:c>
      <x:c r="F19" s="42" t="str">
        <x:f>Winner_Odds!F19</x:f>
        <x:v>Chase Elliott</x:v>
      </x:c>
      <x:c r="G19" s="36" t="n">
        <x:f>Winner_Odds!G19</x:f>
        <x:v>1400</x:v>
      </x:c>
      <x:c r="H19" s="40" t="n">
        <x:f>Winner_Odds!I19</x:f>
        <x:v>0.06666666666666667</x:v>
      </x:c>
      <x:c r="I19" s="40" t="n">
        <x:f>MAX(H19,MIN(Top3_Calibration!$R$4,EXP(Top3_Calibration!$R$3)*POWER(H19,Top3_Calibration!$R$2)))</x:f>
        <x:v>0.1609145580163389</x:v>
      </x:c>
      <x:c r="J19" s="36" t="n">
        <x:f>IF(I19&gt;=0.5,-ROUND((100*I19/(1-I19))/5,0)*5,ROUND((100*(1-I19)/I19)/5,0)*5)</x:f>
        <x:v>520</x:v>
      </x:c>
      <x:c r="K19" t="str">
        <x:v>Estimated</x:v>
      </x:c>
      <x:c r="L19" s="42" t="str">
        <x:v>Power-law fit to matched public Win/Top-3 quotes; 88% cap</x:v>
      </x:c>
      <x:c r="M19" s="42" t="str">
        <x:f>Winner_Odds!L19</x:f>
        <x:v>https://www.foxsports.com/stories/nascar/nascar-odds-atlanta-quaker-state-400</x:v>
      </x:c>
    </x:row>
    <x:row r="20">
      <x:c r="A20" t="n">
        <x:f>Winner_Odds!A20</x:f>
        <x:v>2025</x:v>
      </x:c>
      <x:c r="B20" t="n">
        <x:f>Winner_Odds!B20</x:f>
        <x:v>19</x:v>
      </x:c>
      <x:c r="C20" s="34" t="n">
        <x:f>Winner_Odds!C20</x:f>
        <x:v>45844</x:v>
      </x:c>
      <x:c r="D20" s="42" t="str">
        <x:f>Winner_Odds!D20</x:f>
        <x:v>Grant Park 165</x:v>
      </x:c>
      <x:c r="E20" s="42" t="str">
        <x:f>Winner_Odds!E20</x:f>
        <x:v>Chicago Street Course</x:v>
      </x:c>
      <x:c r="F20" s="42" t="str">
        <x:f>Winner_Odds!F20</x:f>
        <x:v>Shane van Gisbergen</x:v>
      </x:c>
      <x:c r="G20" s="36" t="n">
        <x:f>Winner_Odds!G20</x:f>
        <x:v>125</x:v>
      </x:c>
      <x:c r="H20" s="40" t="n">
        <x:f>Winner_Odds!I20</x:f>
        <x:v>0.4444444444444444</x:v>
      </x:c>
      <x:c r="I20" s="40" t="n">
        <x:f>MAX(H20,MIN(Top3_Calibration!$R$4,EXP(Top3_Calibration!$R$3)*POWER(H20,Top3_Calibration!$R$2)))</x:f>
        <x:v>0.7081815394145238</x:v>
      </x:c>
      <x:c r="J20" s="36" t="n">
        <x:f>IF(I20&gt;=0.5,-ROUND((100*I20/(1-I20))/5,0)*5,ROUND((100*(1-I20)/I20)/5,0)*5)</x:f>
        <x:v>-245</x:v>
      </x:c>
      <x:c r="K20" t="str">
        <x:v>Estimated</x:v>
      </x:c>
      <x:c r="L20" s="42" t="str">
        <x:v>Power-law fit to matched public Win/Top-3 quotes; 88% cap</x:v>
      </x:c>
      <x:c r="M20" s="42" t="str">
        <x:f>Winner_Odds!L20</x:f>
        <x:v>https://www.foxsports.com/stories/nascar/2025-chicago-grant-park-165-odds</x:v>
      </x:c>
    </x:row>
    <x:row r="21">
      <x:c r="A21" t="n">
        <x:f>Winner_Odds!A21</x:f>
        <x:v>2025</x:v>
      </x:c>
      <x:c r="B21" t="n">
        <x:f>Winner_Odds!B21</x:f>
        <x:v>20</x:v>
      </x:c>
      <x:c r="C21" s="34" t="n">
        <x:f>Winner_Odds!C21</x:f>
        <x:v>45851</x:v>
      </x:c>
      <x:c r="D21" s="42" t="str">
        <x:f>Winner_Odds!D21</x:f>
        <x:v>Toyota/Save Mart 350</x:v>
      </x:c>
      <x:c r="E21" s="42" t="str">
        <x:f>Winner_Odds!E21</x:f>
        <x:v>Sonoma Raceway</x:v>
      </x:c>
      <x:c r="F21" s="42" t="str">
        <x:f>Winner_Odds!F21</x:f>
        <x:v>Shane van Gisbergen</x:v>
      </x:c>
      <x:c r="G21" s="36" t="n">
        <x:f>Winner_Odds!G21</x:f>
        <x:v>105</x:v>
      </x:c>
      <x:c r="H21" s="40" t="n">
        <x:f>Winner_Odds!I21</x:f>
        <x:v>0.4878048780487805</x:v>
      </x:c>
      <x:c r="I21" s="40" t="n">
        <x:f>MAX(H21,MIN(Top3_Calibration!$R$4,EXP(Top3_Calibration!$R$3)*POWER(H21,Top3_Calibration!$R$2)))</x:f>
        <x:v>0.7615933414618816</x:v>
      </x:c>
      <x:c r="J21" s="36" t="n">
        <x:f>IF(I21&gt;=0.5,-ROUND((100*I21/(1-I21))/5,0)*5,ROUND((100*(1-I21)/I21)/5,0)*5)</x:f>
        <x:v>-320</x:v>
      </x:c>
      <x:c r="K21" t="str">
        <x:v>Estimated</x:v>
      </x:c>
      <x:c r="L21" s="42" t="str">
        <x:v>Power-law fit to matched public Win/Top-3 quotes; 88% cap</x:v>
      </x:c>
      <x:c r="M21" s="42" t="str">
        <x:f>Winner_Odds!L21</x:f>
        <x:v>https://www.foxsports.com/stories/nascar/2025-nascar-odds-sonoma</x:v>
      </x:c>
    </x:row>
    <x:row r="22">
      <x:c r="A22" t="n">
        <x:f>Winner_Odds!A22</x:f>
        <x:v>2025</x:v>
      </x:c>
      <x:c r="B22" t="n">
        <x:f>Winner_Odds!B22</x:f>
        <x:v>21</x:v>
      </x:c>
      <x:c r="C22" s="34" t="n">
        <x:f>Winner_Odds!C22</x:f>
        <x:v>45858</x:v>
      </x:c>
      <x:c r="D22" s="42" t="str">
        <x:f>Winner_Odds!D22</x:f>
        <x:v>Autotrader EchoPark Automotive 400</x:v>
      </x:c>
      <x:c r="E22" s="42" t="str">
        <x:f>Winner_Odds!E22</x:f>
        <x:v>Dover Motor Speedway</x:v>
      </x:c>
      <x:c r="F22" s="42" t="str">
        <x:f>Winner_Odds!F22</x:f>
        <x:v>Denny Hamlin</x:v>
      </x:c>
      <x:c r="G22" s="36" t="n">
        <x:f>Winner_Odds!G22</x:f>
        <x:v>450</x:v>
      </x:c>
      <x:c r="H22" s="40" t="n">
        <x:f>Winner_Odds!I22</x:f>
        <x:v>0.18181818181818182</x:v>
      </x:c>
      <x:c r="I22" s="40" t="n">
        <x:f>MAX(H22,MIN(Top3_Calibration!$R$4,EXP(Top3_Calibration!$R$3)*POWER(H22,Top3_Calibration!$R$2)))</x:f>
        <x:v>0.3523220523524369</x:v>
      </x:c>
      <x:c r="J22" s="36" t="n">
        <x:f>IF(I22&gt;=0.5,-ROUND((100*I22/(1-I22))/5,0)*5,ROUND((100*(1-I22)/I22)/5,0)*5)</x:f>
        <x:v>185</x:v>
      </x:c>
      <x:c r="K22" t="str">
        <x:v>Estimated</x:v>
      </x:c>
      <x:c r="L22" s="42" t="str">
        <x:v>Power-law fit to matched public Win/Top-3 quotes; 88% cap</x:v>
      </x:c>
      <x:c r="M22" s="42" t="str">
        <x:f>Winner_Odds!L22</x:f>
        <x:v>https://www.foxsports.com/stories/nascar/2025-nascar-odds-dover</x:v>
      </x:c>
    </x:row>
    <x:row r="23">
      <x:c r="A23" t="n">
        <x:f>Winner_Odds!A23</x:f>
        <x:v>2025</x:v>
      </x:c>
      <x:c r="B23" t="n">
        <x:f>Winner_Odds!B23</x:f>
        <x:v>22</x:v>
      </x:c>
      <x:c r="C23" s="34" t="n">
        <x:f>Winner_Odds!C23</x:f>
        <x:v>45865</x:v>
      </x:c>
      <x:c r="D23" s="42" t="str">
        <x:f>Winner_Odds!D23</x:f>
        <x:v>Brickyard 400</x:v>
      </x:c>
      <x:c r="E23" s="42" t="str">
        <x:f>Winner_Odds!E23</x:f>
        <x:v>Indianapolis Motor Speedway</x:v>
      </x:c>
      <x:c r="F23" s="42" t="str">
        <x:f>Winner_Odds!F23</x:f>
        <x:v>Bubba Wallace</x:v>
      </x:c>
      <x:c r="G23" s="36" t="n">
        <x:f>Winner_Odds!G23</x:f>
        <x:v>1100</x:v>
      </x:c>
      <x:c r="H23" s="40" t="n">
        <x:f>Winner_Odds!I23</x:f>
        <x:v>0.08333333333333333</x:v>
      </x:c>
      <x:c r="I23" s="40" t="n">
        <x:f>MAX(H23,MIN(Top3_Calibration!$R$4,EXP(Top3_Calibration!$R$3)*POWER(H23,Top3_Calibration!$R$2)))</x:f>
        <x:v>0.1915539268599431</x:v>
      </x:c>
      <x:c r="J23" s="36" t="n">
        <x:f>IF(I23&gt;=0.5,-ROUND((100*I23/(1-I23))/5,0)*5,ROUND((100*(1-I23)/I23)/5,0)*5)</x:f>
        <x:v>420</x:v>
      </x:c>
      <x:c r="K23" t="str">
        <x:v>Estimated</x:v>
      </x:c>
      <x:c r="L23" s="42" t="str">
        <x:v>Power-law fit to matched public Win/Top-3 quotes; 88% cap</x:v>
      </x:c>
      <x:c r="M23" s="42" t="str">
        <x:f>Winner_Odds!L23</x:f>
        <x:v>https://www.foxsports.com/stories/nascar/2025-nascar-odds-brickyard-400</x:v>
      </x:c>
    </x:row>
    <x:row r="24">
      <x:c r="A24" t="n">
        <x:f>Winner_Odds!A24</x:f>
        <x:v>2025</x:v>
      </x:c>
      <x:c r="B24" t="n">
        <x:f>Winner_Odds!B24</x:f>
        <x:v>23</x:v>
      </x:c>
      <x:c r="C24" s="34" t="n">
        <x:f>Winner_Odds!C24</x:f>
        <x:v>45872</x:v>
      </x:c>
      <x:c r="D24" s="42" t="str">
        <x:f>Winner_Odds!D24</x:f>
        <x:v>Iowa Corn 350</x:v>
      </x:c>
      <x:c r="E24" s="42" t="str">
        <x:f>Winner_Odds!E24</x:f>
        <x:v>Iowa Speedway</x:v>
      </x:c>
      <x:c r="F24" s="42" t="str">
        <x:f>Winner_Odds!F24</x:f>
        <x:v>William Byron</x:v>
      </x:c>
      <x:c r="G24" s="36" t="n">
        <x:f>Winner_Odds!G24</x:f>
        <x:v>600</x:v>
      </x:c>
      <x:c r="H24" s="40" t="n">
        <x:f>Winner_Odds!I24</x:f>
        <x:v>0.14285714285714285</x:v>
      </x:c>
      <x:c r="I24" s="40" t="n">
        <x:f>MAX(H24,MIN(Top3_Calibration!$R$4,EXP(Top3_Calibration!$R$3)*POWER(H24,Top3_Calibration!$R$2)))</x:f>
        <x:v>0.2918312456361281</x:v>
      </x:c>
      <x:c r="J24" s="36" t="n">
        <x:f>IF(I24&gt;=0.5,-ROUND((100*I24/(1-I24))/5,0)*5,ROUND((100*(1-I24)/I24)/5,0)*5)</x:f>
        <x:v>245</x:v>
      </x:c>
      <x:c r="K24" t="str">
        <x:v>Estimated</x:v>
      </x:c>
      <x:c r="L24" s="42" t="str">
        <x:v>Power-law fit to matched public Win/Top-3 quotes; 88% cap</x:v>
      </x:c>
      <x:c r="M24" s="42" t="str">
        <x:f>Winner_Odds!L24</x:f>
        <x:v>https://www.foxsports.com/stories/nascar/2025-nascar-odds-iowa-corn-350</x:v>
      </x:c>
    </x:row>
    <x:row r="25">
      <x:c r="A25" t="n">
        <x:f>Winner_Odds!A25</x:f>
        <x:v>2025</x:v>
      </x:c>
      <x:c r="B25" t="n">
        <x:f>Winner_Odds!B25</x:f>
        <x:v>24</x:v>
      </x:c>
      <x:c r="C25" s="34" t="n">
        <x:f>Winner_Odds!C25</x:f>
        <x:v>45879</x:v>
      </x:c>
      <x:c r="D25" s="42" t="str">
        <x:f>Winner_Odds!D25</x:f>
        <x:v>Go Bowling at The Glen</x:v>
      </x:c>
      <x:c r="E25" s="42" t="str">
        <x:f>Winner_Odds!E25</x:f>
        <x:v>Watkins Glen International</x:v>
      </x:c>
      <x:c r="F25" s="42" t="str">
        <x:f>Winner_Odds!F25</x:f>
        <x:v>Shane van Gisbergen</x:v>
      </x:c>
      <x:c r="G25" s="36" t="n">
        <x:f>Winner_Odds!G25</x:f>
        <x:v>-150</x:v>
      </x:c>
      <x:c r="H25" s="40" t="n">
        <x:f>Winner_Odds!I25</x:f>
        <x:v>0.6</x:v>
      </x:c>
      <x:c r="I25" s="40" t="n">
        <x:f>MAX(H25,MIN(Top3_Calibration!$R$4,EXP(Top3_Calibration!$R$3)*POWER(H25,Top3_Calibration!$R$2)))</x:f>
        <x:v>0.88</x:v>
      </x:c>
      <x:c r="J25" s="36" t="n">
        <x:f>IF(I25&gt;=0.5,-ROUND((100*I25/(1-I25))/5,0)*5,ROUND((100*(1-I25)/I25)/5,0)*5)</x:f>
        <x:v>-735</x:v>
      </x:c>
      <x:c r="K25" t="str">
        <x:v>Estimated</x:v>
      </x:c>
      <x:c r="L25" s="42" t="str">
        <x:v>Power-law fit to matched public Win/Top-3 quotes; 88% cap</x:v>
      </x:c>
      <x:c r="M25" s="42" t="str">
        <x:f>Winner_Odds!L25</x:f>
        <x:v>https://www.foxsports.com/stories/nascar/2025-nascar-odds-watkins-glen</x:v>
      </x:c>
    </x:row>
    <x:row r="26">
      <x:c r="A26" t="n">
        <x:f>Winner_Odds!A26</x:f>
        <x:v>2025</x:v>
      </x:c>
      <x:c r="B26" t="n">
        <x:f>Winner_Odds!B26</x:f>
        <x:v>25</x:v>
      </x:c>
      <x:c r="C26" s="34" t="n">
        <x:f>Winner_Odds!C26</x:f>
        <x:v>45885</x:v>
      </x:c>
      <x:c r="D26" s="42" t="str">
        <x:f>Winner_Odds!D26</x:f>
        <x:v>Cook Out 400</x:v>
      </x:c>
      <x:c r="E26" s="42" t="str">
        <x:f>Winner_Odds!E26</x:f>
        <x:v>Richmond Raceway</x:v>
      </x:c>
      <x:c r="F26" s="42" t="str">
        <x:f>Winner_Odds!F26</x:f>
        <x:v>Austin Dillon</x:v>
      </x:c>
      <x:c r="G26" s="36" t="n">
        <x:f>Winner_Odds!G26</x:f>
        <x:v>2800</x:v>
      </x:c>
      <x:c r="H26" s="40" t="n">
        <x:f>Winner_Odds!I26</x:f>
        <x:v>0.034482758620689655</x:v>
      </x:c>
      <x:c r="I26" s="40" t="n">
        <x:f>MAX(H26,MIN(Top3_Calibration!$R$4,EXP(Top3_Calibration!$R$3)*POWER(H26,Top3_Calibration!$R$2)))</x:f>
        <x:v>0.09615307481159996</x:v>
      </x:c>
      <x:c r="J26" s="36" t="n">
        <x:f>IF(I26&gt;=0.5,-ROUND((100*I26/(1-I26))/5,0)*5,ROUND((100*(1-I26)/I26)/5,0)*5)</x:f>
        <x:v>940</x:v>
      </x:c>
      <x:c r="K26" t="str">
        <x:v>Estimated</x:v>
      </x:c>
      <x:c r="L26" s="42" t="str">
        <x:v>Power-law fit to matched public Win/Top-3 quotes; 88% cap</x:v>
      </x:c>
      <x:c r="M26" s="42" t="str">
        <x:f>Winner_Odds!L26</x:f>
        <x:v>https://www.foxsports.com/stories/nascar/2025-nascar-odds-richmond-cook-out-400</x:v>
      </x:c>
    </x:row>
    <x:row r="27">
      <x:c r="A27" t="n">
        <x:f>Winner_Odds!A27</x:f>
        <x:v>2025</x:v>
      </x:c>
      <x:c r="B27" t="n">
        <x:f>Winner_Odds!B27</x:f>
        <x:v>26</x:v>
      </x:c>
      <x:c r="C27" s="34" t="n">
        <x:f>Winner_Odds!C27</x:f>
        <x:v>45892</x:v>
      </x:c>
      <x:c r="D27" s="42" t="str">
        <x:f>Winner_Odds!D27</x:f>
        <x:v>Coke Zero Sugar 400</x:v>
      </x:c>
      <x:c r="E27" s="42" t="str">
        <x:f>Winner_Odds!E27</x:f>
        <x:v>Daytona International Speedway</x:v>
      </x:c>
      <x:c r="F27" s="42" t="str">
        <x:f>Winner_Odds!F27</x:f>
        <x:v>Ryan Blaney</x:v>
      </x:c>
      <x:c r="G27" s="36" t="n">
        <x:f>Winner_Odds!G27</x:f>
        <x:v>1100</x:v>
      </x:c>
      <x:c r="H27" s="40" t="n">
        <x:f>Winner_Odds!I27</x:f>
        <x:v>0.08333333333333333</x:v>
      </x:c>
      <x:c r="I27" s="40" t="n">
        <x:f>MAX(H27,MIN(Top3_Calibration!$R$4,EXP(Top3_Calibration!$R$3)*POWER(H27,Top3_Calibration!$R$2)))</x:f>
        <x:v>0.1915539268599431</x:v>
      </x:c>
      <x:c r="J27" s="36" t="n">
        <x:f>IF(I27&gt;=0.5,-ROUND((100*I27/(1-I27))/5,0)*5,ROUND((100*(1-I27)/I27)/5,0)*5)</x:f>
        <x:v>420</x:v>
      </x:c>
      <x:c r="K27" t="str">
        <x:v>Estimated</x:v>
      </x:c>
      <x:c r="L27" s="42" t="str">
        <x:v>Power-law fit to matched public Win/Top-3 quotes; 88% cap</x:v>
      </x:c>
      <x:c r="M27" s="42" t="str">
        <x:f>Winner_Odds!L27</x:f>
        <x:v>https://www.foxsports.com/stories/nascar/2025-nascar-odds-daytona-coke-zero-sugar-400</x:v>
      </x:c>
    </x:row>
    <x:row r="28">
      <x:c r="A28" t="n">
        <x:f>Winner_Odds!A28</x:f>
        <x:v>2025</x:v>
      </x:c>
      <x:c r="B28" t="n">
        <x:f>Winner_Odds!B28</x:f>
        <x:v>27</x:v>
      </x:c>
      <x:c r="C28" s="34" t="n">
        <x:f>Winner_Odds!C28</x:f>
        <x:v>45900</x:v>
      </x:c>
      <x:c r="D28" s="42" t="str">
        <x:f>Winner_Odds!D28</x:f>
        <x:v>Cook Out Southern 500</x:v>
      </x:c>
      <x:c r="E28" s="42" t="str">
        <x:f>Winner_Odds!E28</x:f>
        <x:v>Darlington Raceway</x:v>
      </x:c>
      <x:c r="F28" s="42" t="str">
        <x:f>Winner_Odds!F28</x:f>
        <x:v>Chase Briscoe</x:v>
      </x:c>
      <x:c r="G28" s="36" t="n">
        <x:f>Winner_Odds!G28</x:f>
        <x:v>800</x:v>
      </x:c>
      <x:c r="H28" s="40" t="n">
        <x:f>Winner_Odds!I28</x:f>
        <x:v>0.1111111111111111</x:v>
      </x:c>
      <x:c r="I28" s="40" t="n">
        <x:f>MAX(H28,MIN(Top3_Calibration!$R$4,EXP(Top3_Calibration!$R$3)*POWER(H28,Top3_Calibration!$R$2)))</x:f>
        <x:v>0.23981691896832774</x:v>
      </x:c>
      <x:c r="J28" s="36" t="n">
        <x:f>IF(I28&gt;=0.5,-ROUND((100*I28/(1-I28))/5,0)*5,ROUND((100*(1-I28)/I28)/5,0)*5)</x:f>
        <x:v>315</x:v>
      </x:c>
      <x:c r="K28" t="str">
        <x:v>Estimated</x:v>
      </x:c>
      <x:c r="L28" s="42" t="str">
        <x:v>Power-law fit to matched public Win/Top-3 quotes; 88% cap</x:v>
      </x:c>
      <x:c r="M28" s="42" t="str">
        <x:f>Winner_Odds!L28</x:f>
        <x:v>https://www.covers.com/nascar/southern-500-odds-picks-predictions-darlington-raceway-august-31-2025</x:v>
      </x:c>
    </x:row>
    <x:row r="29">
      <x:c r="A29" t="n">
        <x:f>Winner_Odds!A29</x:f>
        <x:v>2025</x:v>
      </x:c>
      <x:c r="B29" t="n">
        <x:f>Winner_Odds!B29</x:f>
        <x:v>28</x:v>
      </x:c>
      <x:c r="C29" s="34" t="n">
        <x:f>Winner_Odds!C29</x:f>
        <x:v>45907</x:v>
      </x:c>
      <x:c r="D29" s="42" t="str">
        <x:f>Winner_Odds!D29</x:f>
        <x:v>Enjoy Illinois 300</x:v>
      </x:c>
      <x:c r="E29" s="42" t="str">
        <x:f>Winner_Odds!E29</x:f>
        <x:v>World Wide Technology Raceway</x:v>
      </x:c>
      <x:c r="F29" s="42" t="str">
        <x:f>Winner_Odds!F29</x:f>
        <x:v>Denny Hamlin</x:v>
      </x:c>
      <x:c r="G29" s="36" t="n">
        <x:f>Winner_Odds!G29</x:f>
        <x:v>500</x:v>
      </x:c>
      <x:c r="H29" s="40" t="n">
        <x:f>Winner_Odds!I29</x:f>
        <x:v>0.16666666666666666</x:v>
      </x:c>
      <x:c r="I29" s="40" t="n">
        <x:f>MAX(H29,MIN(Top3_Calibration!$R$4,EXP(Top3_Calibration!$R$3)*POWER(H29,Top3_Calibration!$R$2)))</x:f>
        <x:v>0.32917242785340656</x:v>
      </x:c>
      <x:c r="J29" s="36" t="n">
        <x:f>IF(I29&gt;=0.5,-ROUND((100*I29/(1-I29))/5,0)*5,ROUND((100*(1-I29)/I29)/5,0)*5)</x:f>
        <x:v>205</x:v>
      </x:c>
      <x:c r="K29" t="str">
        <x:v>Estimated</x:v>
      </x:c>
      <x:c r="L29" s="42" t="str">
        <x:v>Power-law fit to matched public Win/Top-3 quotes; 88% cap</x:v>
      </x:c>
      <x:c r="M29" s="42" t="str">
        <x:f>Winner_Odds!L29</x:f>
        <x:v>https://www.foxsports.com/stories/nascar/2025-nascar-odds-gateway-enjoy-illinois-300</x:v>
      </x:c>
    </x:row>
    <x:row r="30">
      <x:c r="A30" t="n">
        <x:f>Winner_Odds!A30</x:f>
        <x:v>2025</x:v>
      </x:c>
      <x:c r="B30" t="n">
        <x:f>Winner_Odds!B30</x:f>
        <x:v>29</x:v>
      </x:c>
      <x:c r="C30" s="34" t="n">
        <x:f>Winner_Odds!C30</x:f>
        <x:v>45913</x:v>
      </x:c>
      <x:c r="D30" s="42" t="str">
        <x:f>Winner_Odds!D30</x:f>
        <x:v>Bass Pro Shops Night Race</x:v>
      </x:c>
      <x:c r="E30" s="42" t="str">
        <x:f>Winner_Odds!E30</x:f>
        <x:v>Bristol Motor Speedway</x:v>
      </x:c>
      <x:c r="F30" s="42" t="str">
        <x:f>Winner_Odds!F30</x:f>
        <x:v>Christopher Bell</x:v>
      </x:c>
      <x:c r="G30" s="36" t="n">
        <x:f>Winner_Odds!G30</x:f>
        <x:v>1000</x:v>
      </x:c>
      <x:c r="H30" s="40" t="n">
        <x:f>Winner_Odds!I30</x:f>
        <x:v>0.09090909090909091</x:v>
      </x:c>
      <x:c r="I30" s="40" t="n">
        <x:f>MAX(H30,MIN(Top3_Calibration!$R$4,EXP(Top3_Calibration!$R$3)*POWER(H30,Top3_Calibration!$R$2)))</x:f>
        <x:v>0.20502529050677085</x:v>
      </x:c>
      <x:c r="J30" s="36" t="n">
        <x:f>IF(I30&gt;=0.5,-ROUND((100*I30/(1-I30))/5,0)*5,ROUND((100*(1-I30)/I30)/5,0)*5)</x:f>
        <x:v>390</x:v>
      </x:c>
      <x:c r="K30" t="str">
        <x:v>Estimated</x:v>
      </x:c>
      <x:c r="L30" s="42" t="str">
        <x:v>Power-law fit to matched public Win/Top-3 quotes; 88% cap</x:v>
      </x:c>
      <x:c r="M30" s="42" t="str">
        <x:f>Winner_Odds!L30</x:f>
        <x:v>https://www.foxsports.com/stories/nascar/2025-nascar-odds-bristol-playoff-race</x:v>
      </x:c>
    </x:row>
    <x:row r="31">
      <x:c r="A31" t="n">
        <x:f>Winner_Odds!A31</x:f>
        <x:v>2025</x:v>
      </x:c>
      <x:c r="B31" t="n">
        <x:f>Winner_Odds!B31</x:f>
        <x:v>30</x:v>
      </x:c>
      <x:c r="C31" s="34" t="n">
        <x:f>Winner_Odds!C31</x:f>
        <x:v>45921</x:v>
      </x:c>
      <x:c r="D31" s="42" t="str">
        <x:f>Winner_Odds!D31</x:f>
        <x:v>Mobil 1 301</x:v>
      </x:c>
      <x:c r="E31" s="42" t="str">
        <x:f>Winner_Odds!E31</x:f>
        <x:v>New Hampshire Motor Speedway</x:v>
      </x:c>
      <x:c r="F31" s="42" t="str">
        <x:f>Winner_Odds!F31</x:f>
        <x:v>Ryan Blaney</x:v>
      </x:c>
      <x:c r="G31" s="36" t="n">
        <x:f>Winner_Odds!G31</x:f>
        <x:v>320</x:v>
      </x:c>
      <x:c r="H31" s="40" t="n">
        <x:f>Winner_Odds!I31</x:f>
        <x:v>0.23809523809523808</x:v>
      </x:c>
      <x:c r="I31" s="40" t="n">
        <x:f>MAX(H31,MIN(Top3_Calibration!$R$4,EXP(Top3_Calibration!$R$3)*POWER(H31,Top3_Calibration!$R$2)))</x:f>
        <x:v>0.43492690189062483</x:v>
      </x:c>
      <x:c r="J31" s="36" t="n">
        <x:f>IF(I31&gt;=0.5,-ROUND((100*I31/(1-I31))/5,0)*5,ROUND((100*(1-I31)/I31)/5,0)*5)</x:f>
        <x:v>130</x:v>
      </x:c>
      <x:c r="K31" t="str">
        <x:v>Estimated</x:v>
      </x:c>
      <x:c r="L31" s="42" t="str">
        <x:v>Power-law fit to matched public Win/Top-3 quotes; 88% cap</x:v>
      </x:c>
      <x:c r="M31" s="42" t="str">
        <x:f>Winner_Odds!L31</x:f>
        <x:v>https://www.foxsports.com/stories/nascar/2025-nascar-odds-new-hampshire-mobil-1-301</x:v>
      </x:c>
    </x:row>
    <x:row r="32">
      <x:c r="A32" t="n">
        <x:f>Winner_Odds!A32</x:f>
        <x:v>2025</x:v>
      </x:c>
      <x:c r="B32" t="n">
        <x:f>Winner_Odds!B32</x:f>
        <x:v>31</x:v>
      </x:c>
      <x:c r="C32" s="34" t="n">
        <x:f>Winner_Odds!C32</x:f>
        <x:v>45928</x:v>
      </x:c>
      <x:c r="D32" s="42" t="str">
        <x:f>Winner_Odds!D32</x:f>
        <x:v>Hollywood Casino 400</x:v>
      </x:c>
      <x:c r="E32" s="42" t="str">
        <x:f>Winner_Odds!E32</x:f>
        <x:v>Kansas Speedway</x:v>
      </x:c>
      <x:c r="F32" s="42" t="str">
        <x:f>Winner_Odds!F32</x:f>
        <x:v>Chase Elliott</x:v>
      </x:c>
      <x:c r="G32" s="36" t="n">
        <x:f>Winner_Odds!G32</x:f>
        <x:v>1200</x:v>
      </x:c>
      <x:c r="H32" s="40" t="n">
        <x:f>Winner_Odds!I32</x:f>
        <x:v>0.07692307692307693</x:v>
      </x:c>
      <x:c r="I32" s="40" t="n">
        <x:f>MAX(H32,MIN(Top3_Calibration!$R$4,EXP(Top3_Calibration!$R$3)*POWER(H32,Top3_Calibration!$R$2)))</x:f>
        <x:v>0.1799445199725896</x:v>
      </x:c>
      <x:c r="J32" s="36" t="n">
        <x:f>IF(I32&gt;=0.5,-ROUND((100*I32/(1-I32))/5,0)*5,ROUND((100*(1-I32)/I32)/5,0)*5)</x:f>
        <x:v>455</x:v>
      </x:c>
      <x:c r="K32" t="str">
        <x:v>Estimated</x:v>
      </x:c>
      <x:c r="L32" s="42" t="str">
        <x:v>Power-law fit to matched public Win/Top-3 quotes; 88% cap</x:v>
      </x:c>
      <x:c r="M32" s="42" t="str">
        <x:f>Winner_Odds!L32</x:f>
        <x:v>https://www.foxsports.com/stories/nascar/2025-nascar-odds-kansas-speedway-400</x:v>
      </x:c>
    </x:row>
    <x:row r="33">
      <x:c r="A33" t="n">
        <x:f>Winner_Odds!A33</x:f>
        <x:v>2025</x:v>
      </x:c>
      <x:c r="B33" t="n">
        <x:f>Winner_Odds!B33</x:f>
        <x:v>32</x:v>
      </x:c>
      <x:c r="C33" s="34" t="n">
        <x:f>Winner_Odds!C33</x:f>
        <x:v>45935</x:v>
      </x:c>
      <x:c r="D33" s="42" t="str">
        <x:f>Winner_Odds!D33</x:f>
        <x:v>Bank of America ROVAL 400</x:v>
      </x:c>
      <x:c r="E33" s="42" t="str">
        <x:f>Winner_Odds!E33</x:f>
        <x:v>Charlotte Motor Speedway ROVAL</x:v>
      </x:c>
      <x:c r="F33" s="42" t="str">
        <x:f>Winner_Odds!F33</x:f>
        <x:v>Shane van Gisbergen</x:v>
      </x:c>
      <x:c r="G33" s="36" t="n">
        <x:f>Winner_Odds!G33</x:f>
        <x:v>-120</x:v>
      </x:c>
      <x:c r="H33" s="40" t="n">
        <x:f>Winner_Odds!I33</x:f>
        <x:v>0.5454545454545454</x:v>
      </x:c>
      <x:c r="I33" s="40" t="n">
        <x:f>MAX(H33,MIN(Top3_Calibration!$R$4,EXP(Top3_Calibration!$R$3)*POWER(H33,Top3_Calibration!$R$2)))</x:f>
        <x:v>0.8310283695931395</x:v>
      </x:c>
      <x:c r="J33" s="36" t="n">
        <x:f>IF(I33&gt;=0.5,-ROUND((100*I33/(1-I33))/5,0)*5,ROUND((100*(1-I33)/I33)/5,0)*5)</x:f>
        <x:v>-490</x:v>
      </x:c>
      <x:c r="K33" t="str">
        <x:v>Estimated</x:v>
      </x:c>
      <x:c r="L33" s="42" t="str">
        <x:v>Power-law fit to matched public Win/Top-3 quotes; 88% cap</x:v>
      </x:c>
      <x:c r="M33" s="42" t="str">
        <x:f>Winner_Odds!L33</x:f>
        <x:v>https://www.foxsports.com/stories/nascar/2025-nascar-odds-charlotte-roval</x:v>
      </x:c>
    </x:row>
    <x:row r="34">
      <x:c r="A34" t="n">
        <x:f>Winner_Odds!A34</x:f>
        <x:v>2025</x:v>
      </x:c>
      <x:c r="B34" t="n">
        <x:f>Winner_Odds!B34</x:f>
        <x:v>33</x:v>
      </x:c>
      <x:c r="C34" s="34" t="n">
        <x:f>Winner_Odds!C34</x:f>
        <x:v>45942</x:v>
      </x:c>
      <x:c r="D34" s="42" t="str">
        <x:f>Winner_Odds!D34</x:f>
        <x:v>South Point 400</x:v>
      </x:c>
      <x:c r="E34" s="42" t="str">
        <x:f>Winner_Odds!E34</x:f>
        <x:v>Las Vegas Motor Speedway</x:v>
      </x:c>
      <x:c r="F34" s="42" t="str">
        <x:f>Winner_Odds!F34</x:f>
        <x:v>Denny Hamlin</x:v>
      </x:c>
      <x:c r="G34" s="36" t="n">
        <x:f>Winner_Odds!G34</x:f>
        <x:v>550</x:v>
      </x:c>
      <x:c r="H34" s="40" t="n">
        <x:f>Winner_Odds!I34</x:f>
        <x:v>0.15384615384615385</x:v>
      </x:c>
      <x:c r="I34" s="40" t="n">
        <x:f>MAX(H34,MIN(Top3_Calibration!$R$4,EXP(Top3_Calibration!$R$3)*POWER(H34,Top3_Calibration!$R$2)))</x:f>
        <x:v>0.3092224497261382</x:v>
      </x:c>
      <x:c r="J34" s="36" t="n">
        <x:f>IF(I34&gt;=0.5,-ROUND((100*I34/(1-I34))/5,0)*5,ROUND((100*(1-I34)/I34)/5,0)*5)</x:f>
        <x:v>225</x:v>
      </x:c>
      <x:c r="K34" t="str">
        <x:v>Estimated</x:v>
      </x:c>
      <x:c r="L34" s="42" t="str">
        <x:v>Power-law fit to matched public Win/Top-3 quotes; 88% cap</x:v>
      </x:c>
      <x:c r="M34" s="42" t="str">
        <x:f>Winner_Odds!L34</x:f>
        <x:v>https://www.foxsports.com/stories/nascar/2025-nascar-odds-vegas</x:v>
      </x:c>
    </x:row>
    <x:row r="35">
      <x:c r="A35" t="n">
        <x:f>Winner_Odds!A35</x:f>
        <x:v>2025</x:v>
      </x:c>
      <x:c r="B35" t="n">
        <x:f>Winner_Odds!B35</x:f>
        <x:v>34</x:v>
      </x:c>
      <x:c r="C35" s="34" t="n">
        <x:f>Winner_Odds!C35</x:f>
        <x:v>45949</x:v>
      </x:c>
      <x:c r="D35" s="42" t="str">
        <x:f>Winner_Odds!D35</x:f>
        <x:v>YellaWood 500</x:v>
      </x:c>
      <x:c r="E35" s="42" t="str">
        <x:f>Winner_Odds!E35</x:f>
        <x:v>Talladega Superspeedway</x:v>
      </x:c>
      <x:c r="F35" s="42" t="str">
        <x:f>Winner_Odds!F35</x:f>
        <x:v>Chase Briscoe</x:v>
      </x:c>
      <x:c r="G35" s="36" t="n">
        <x:f>Winner_Odds!G35</x:f>
        <x:v>1800</x:v>
      </x:c>
      <x:c r="H35" s="40" t="n">
        <x:f>Winner_Odds!I35</x:f>
        <x:v>0.05263157894736842</x:v>
      </x:c>
      <x:c r="I35" s="40" t="n">
        <x:f>MAX(H35,MIN(Top3_Calibration!$R$4,EXP(Top3_Calibration!$R$3)*POWER(H35,Top3_Calibration!$R$2)))</x:f>
        <x:v>0.13378471897658617</x:v>
      </x:c>
      <x:c r="J35" s="36" t="n">
        <x:f>IF(I35&gt;=0.5,-ROUND((100*I35/(1-I35))/5,0)*5,ROUND((100*(1-I35)/I35)/5,0)*5)</x:f>
        <x:v>645</x:v>
      </x:c>
      <x:c r="K35" t="str">
        <x:v>Estimated</x:v>
      </x:c>
      <x:c r="L35" s="42" t="str">
        <x:v>Power-law fit to matched public Win/Top-3 quotes; 88% cap</x:v>
      </x:c>
      <x:c r="M35" s="42" t="str">
        <x:f>Winner_Odds!L35</x:f>
        <x:v>https://www.foxsports.com/stories/nascar/2025-nascar-odds-talladega</x:v>
      </x:c>
    </x:row>
    <x:row r="36">
      <x:c r="A36" t="n">
        <x:f>Winner_Odds!A36</x:f>
        <x:v>2025</x:v>
      </x:c>
      <x:c r="B36" t="n">
        <x:f>Winner_Odds!B36</x:f>
        <x:v>35</x:v>
      </x:c>
      <x:c r="C36" s="34" t="n">
        <x:f>Winner_Odds!C36</x:f>
        <x:v>45956</x:v>
      </x:c>
      <x:c r="D36" s="42" t="str">
        <x:f>Winner_Odds!D36</x:f>
        <x:v>Xfinity 500</x:v>
      </x:c>
      <x:c r="E36" s="42" t="str">
        <x:f>Winner_Odds!E36</x:f>
        <x:v>Martinsville Speedway</x:v>
      </x:c>
      <x:c r="F36" s="42" t="str">
        <x:f>Winner_Odds!F36</x:f>
        <x:v>William Byron</x:v>
      </x:c>
      <x:c r="G36" s="36" t="n">
        <x:f>Winner_Odds!G36</x:f>
        <x:v>285</x:v>
      </x:c>
      <x:c r="H36" s="40" t="n">
        <x:f>Winner_Odds!I36</x:f>
        <x:v>0.2597402597402597</x:v>
      </x:c>
      <x:c r="I36" s="40" t="n">
        <x:f>MAX(H36,MIN(Top3_Calibration!$R$4,EXP(Top3_Calibration!$R$3)*POWER(H36,Top3_Calibration!$R$2)))</x:f>
        <x:v>0.4655138940301318</x:v>
      </x:c>
      <x:c r="J36" s="36" t="n">
        <x:f>IF(I36&gt;=0.5,-ROUND((100*I36/(1-I36))/5,0)*5,ROUND((100*(1-I36)/I36)/5,0)*5)</x:f>
        <x:v>115</x:v>
      </x:c>
      <x:c r="K36" t="str">
        <x:v>Estimated</x:v>
      </x:c>
      <x:c r="L36" s="42" t="str">
        <x:v>Power-law fit to matched public Win/Top-3 quotes; 88% cap</x:v>
      </x:c>
      <x:c r="M36" s="42" t="str">
        <x:f>Winner_Odds!L36</x:f>
        <x:v>https://www.foxsports.com/stories/nascar/martinsville-odds-xfinity-500-2025</x:v>
      </x:c>
    </x:row>
    <x:row r="37">
      <x:c r="A37" t="n">
        <x:f>Winner_Odds!A37</x:f>
        <x:v>2025</x:v>
      </x:c>
      <x:c r="B37" t="n">
        <x:f>Winner_Odds!B37</x:f>
        <x:v>36</x:v>
      </x:c>
      <x:c r="C37" s="34" t="n">
        <x:f>Winner_Odds!C37</x:f>
        <x:v>45963</x:v>
      </x:c>
      <x:c r="D37" s="42" t="str">
        <x:f>Winner_Odds!D37</x:f>
        <x:v>NASCAR Cup Series Championship Race</x:v>
      </x:c>
      <x:c r="E37" s="42" t="str">
        <x:f>Winner_Odds!E37</x:f>
        <x:v>Phoenix Raceway</x:v>
      </x:c>
      <x:c r="F37" s="42" t="str">
        <x:f>Winner_Odds!F37</x:f>
        <x:v>Ryan Blaney</x:v>
      </x:c>
      <x:c r="G37" s="36" t="n">
        <x:f>Winner_Odds!G37</x:f>
        <x:v>460</x:v>
      </x:c>
      <x:c r="H37" s="40" t="n">
        <x:f>Winner_Odds!I37</x:f>
        <x:v>0.17857142857142858</x:v>
      </x:c>
      <x:c r="I37" s="40" t="n">
        <x:f>MAX(H37,MIN(Top3_Calibration!$R$4,EXP(Top3_Calibration!$R$3)*POWER(H37,Top3_Calibration!$R$2)))</x:f>
        <x:v>0.347398158197426</x:v>
      </x:c>
      <x:c r="J37" s="36" t="n">
        <x:f>IF(I37&gt;=0.5,-ROUND((100*I37/(1-I37))/5,0)*5,ROUND((100*(1-I37)/I37)/5,0)*5)</x:f>
        <x:v>190</x:v>
      </x:c>
      <x:c r="K37" t="str">
        <x:v>Estimated</x:v>
      </x:c>
      <x:c r="L37" s="42" t="str">
        <x:v>Power-law fit to matched public Win/Top-3 quotes; 88% cap</x:v>
      </x:c>
      <x:c r="M37" s="42" t="str">
        <x:f>Winner_Odds!L37</x:f>
        <x:v>https://www.foxsports.com/stories/nascar/2025-nascar-odds-phoenix-championship-race</x:v>
      </x:c>
    </x:row>
    <x:row r="38">
      <x:c r="A38" t="n">
        <x:f>Winner_Odds!A38</x:f>
        <x:v>2026</x:v>
      </x:c>
      <x:c r="B38" t="n">
        <x:f>Winner_Odds!B38</x:f>
        <x:v>1</x:v>
      </x:c>
      <x:c r="C38" s="34" t="n">
        <x:f>Winner_Odds!C38</x:f>
        <x:v>46068</x:v>
      </x:c>
      <x:c r="D38" s="42" t="str">
        <x:f>Winner_Odds!D38</x:f>
        <x:v>Daytona 500</x:v>
      </x:c>
      <x:c r="E38" s="42" t="str">
        <x:f>Winner_Odds!E38</x:f>
        <x:v>Daytona International Speedway</x:v>
      </x:c>
      <x:c r="F38" s="42" t="str">
        <x:f>Winner_Odds!F38</x:f>
        <x:v>Tyler Reddick</x:v>
      </x:c>
      <x:c r="G38" s="36" t="n">
        <x:f>Winner_Odds!G38</x:f>
        <x:v>4000</x:v>
      </x:c>
      <x:c r="H38" s="40" t="n">
        <x:f>Winner_Odds!I38</x:f>
        <x:v>0.024390243902439025</x:v>
      </x:c>
      <x:c r="I38" s="40" t="n">
        <x:f>MAX(H38,MIN(Top3_Calibration!$R$4,EXP(Top3_Calibration!$R$3)*POWER(H38,Top3_Calibration!$R$2)))</x:f>
        <x:v>0.07336650836191809</x:v>
      </x:c>
      <x:c r="J38" s="36" t="n">
        <x:f>IF(I38&gt;=0.5,-ROUND((100*I38/(1-I38))/5,0)*5,ROUND((100*(1-I38)/I38)/5,0)*5)</x:f>
        <x:v>1265</x:v>
      </x:c>
      <x:c r="K38" t="str">
        <x:v>Estimated</x:v>
      </x:c>
      <x:c r="L38" s="42" t="str">
        <x:v>Power-law fit to matched public Win/Top-3 quotes; 88% cap</x:v>
      </x:c>
      <x:c r="M38" s="42" t="str">
        <x:f>Winner_Odds!L38</x:f>
        <x:v>https://www.foxsports.com/stories/nascar/2026-daytona-500-odds</x:v>
      </x:c>
    </x:row>
    <x:row r="39">
      <x:c r="A39" t="n">
        <x:f>Winner_Odds!A39</x:f>
        <x:v>2026</x:v>
      </x:c>
      <x:c r="B39" t="n">
        <x:f>Winner_Odds!B39</x:f>
        <x:v>2</x:v>
      </x:c>
      <x:c r="C39" s="34" t="n">
        <x:f>Winner_Odds!C39</x:f>
        <x:v>46075</x:v>
      </x:c>
      <x:c r="D39" s="42" t="str">
        <x:f>Winner_Odds!D39</x:f>
        <x:v>Autotrader 400</x:v>
      </x:c>
      <x:c r="E39" s="42" t="str">
        <x:f>Winner_Odds!E39</x:f>
        <x:v>EchoPark Speedway</x:v>
      </x:c>
      <x:c r="F39" s="42" t="str">
        <x:f>Winner_Odds!F39</x:f>
        <x:v>Tyler Reddick</x:v>
      </x:c>
      <x:c r="G39" s="36" t="n">
        <x:f>Winner_Odds!G39</x:f>
        <x:v>2200</x:v>
      </x:c>
      <x:c r="H39" s="40" t="n">
        <x:f>Winner_Odds!I39</x:f>
        <x:v>0.043478260869565216</x:v>
      </x:c>
      <x:c r="I39" s="40" t="n">
        <x:f>MAX(H39,MIN(Top3_Calibration!$R$4,EXP(Top3_Calibration!$R$3)*POWER(H39,Top3_Calibration!$R$2)))</x:f>
        <x:v>0.11523805646467243</x:v>
      </x:c>
      <x:c r="J39" s="36" t="n">
        <x:f>IF(I39&gt;=0.5,-ROUND((100*I39/(1-I39))/5,0)*5,ROUND((100*(1-I39)/I39)/5,0)*5)</x:f>
        <x:v>770</x:v>
      </x:c>
      <x:c r="K39" t="str">
        <x:v>Estimated</x:v>
      </x:c>
      <x:c r="L39" s="42" t="str">
        <x:v>Power-law fit to matched public Win/Top-3 quotes; 88% cap</x:v>
      </x:c>
      <x:c r="M39" s="42" t="str">
        <x:f>Winner_Odds!L39</x:f>
        <x:v>https://www.foxsports.com/stories/nascar/2026-nascar-odds-atl-spring-race</x:v>
      </x:c>
    </x:row>
    <x:row r="40">
      <x:c r="A40" t="n">
        <x:f>Winner_Odds!A40</x:f>
        <x:v>2026</x:v>
      </x:c>
      <x:c r="B40" t="n">
        <x:f>Winner_Odds!B40</x:f>
        <x:v>3</x:v>
      </x:c>
      <x:c r="C40" s="34" t="n">
        <x:f>Winner_Odds!C40</x:f>
        <x:v>46082</x:v>
      </x:c>
      <x:c r="D40" s="42" t="str">
        <x:f>Winner_Odds!D40</x:f>
        <x:v>DuraMAX Texas Grand Prix</x:v>
      </x:c>
      <x:c r="E40" s="42" t="str">
        <x:f>Winner_Odds!E40</x:f>
        <x:v>Circuit of the Americas</x:v>
      </x:c>
      <x:c r="F40" s="42" t="str">
        <x:f>Winner_Odds!F40</x:f>
        <x:v>Tyler Reddick</x:v>
      </x:c>
      <x:c r="G40" s="36" t="n">
        <x:f>Winner_Odds!G40</x:f>
        <x:v>400</x:v>
      </x:c>
      <x:c r="H40" s="40" t="n">
        <x:f>Winner_Odds!I40</x:f>
        <x:v>0.2</x:v>
      </x:c>
      <x:c r="I40" s="40" t="n">
        <x:f>MAX(H40,MIN(Top3_Calibration!$R$4,EXP(Top3_Calibration!$R$3)*POWER(H40,Top3_Calibration!$R$2)))</x:f>
        <x:v>0.37955206578539863</x:v>
      </x:c>
      <x:c r="J40" s="36" t="n">
        <x:f>IF(I40&gt;=0.5,-ROUND((100*I40/(1-I40))/5,0)*5,ROUND((100*(1-I40)/I40)/5,0)*5)</x:f>
        <x:v>165</x:v>
      </x:c>
      <x:c r="K40" t="str">
        <x:v>Estimated</x:v>
      </x:c>
      <x:c r="L40" s="42" t="str">
        <x:v>Power-law fit to matched public Win/Top-3 quotes; 88% cap</x:v>
      </x:c>
      <x:c r="M40" s="42" t="str">
        <x:f>Winner_Odds!L40</x:f>
        <x:v>https://www.foxsports.com/stories/nascar/2026-nascar-odds-cota-duramax-texas-grand-prix</x:v>
      </x:c>
    </x:row>
    <x:row r="41">
      <x:c r="A41" t="n">
        <x:f>Winner_Odds!A41</x:f>
        <x:v>2026</x:v>
      </x:c>
      <x:c r="B41" t="n">
        <x:f>Winner_Odds!B41</x:f>
        <x:v>4</x:v>
      </x:c>
      <x:c r="C41" s="34" t="n">
        <x:f>Winner_Odds!C41</x:f>
        <x:v>46089</x:v>
      </x:c>
      <x:c r="D41" s="42" t="str">
        <x:f>Winner_Odds!D41</x:f>
        <x:v>Straight Talk Wireless 500</x:v>
      </x:c>
      <x:c r="E41" s="42" t="str">
        <x:f>Winner_Odds!E41</x:f>
        <x:v>Phoenix Raceway</x:v>
      </x:c>
      <x:c r="F41" s="42" t="str">
        <x:f>Winner_Odds!F41</x:f>
        <x:v>Ryan Blaney</x:v>
      </x:c>
      <x:c r="G41" s="36" t="n">
        <x:f>Winner_Odds!G41</x:f>
        <x:v>285</x:v>
      </x:c>
      <x:c r="H41" s="40" t="n">
        <x:f>Winner_Odds!I41</x:f>
        <x:v>0.2597402597402597</x:v>
      </x:c>
      <x:c r="I41" s="40" t="n">
        <x:f>MAX(H41,MIN(Top3_Calibration!$R$4,EXP(Top3_Calibration!$R$3)*POWER(H41,Top3_Calibration!$R$2)))</x:f>
        <x:v>0.4655138940301318</x:v>
      </x:c>
      <x:c r="J41" s="36" t="n">
        <x:f>IF(I41&gt;=0.5,-ROUND((100*I41/(1-I41))/5,0)*5,ROUND((100*(1-I41)/I41)/5,0)*5)</x:f>
        <x:v>115</x:v>
      </x:c>
      <x:c r="K41" t="str">
        <x:v>Estimated</x:v>
      </x:c>
      <x:c r="L41" s="42" t="str">
        <x:v>Power-law fit to matched public Win/Top-3 quotes; 88% cap</x:v>
      </x:c>
      <x:c r="M41" s="42" t="str">
        <x:f>Winner_Odds!L41</x:f>
        <x:v>https://www.foxsports.com/stories/nascar/2026-nascar-odds-phoenix-spring-race</x:v>
      </x:c>
    </x:row>
    <x:row r="42">
      <x:c r="A42" t="n">
        <x:f>Winner_Odds!A42</x:f>
        <x:v>2026</x:v>
      </x:c>
      <x:c r="B42" t="n">
        <x:f>Winner_Odds!B42</x:f>
        <x:v>5</x:v>
      </x:c>
      <x:c r="C42" s="34" t="n">
        <x:f>Winner_Odds!C42</x:f>
        <x:v>46096</x:v>
      </x:c>
      <x:c r="D42" s="42" t="str">
        <x:f>Winner_Odds!D42</x:f>
        <x:v>Pennzoil 400</x:v>
      </x:c>
      <x:c r="E42" s="42" t="str">
        <x:f>Winner_Odds!E42</x:f>
        <x:v>Las Vegas Motor Speedway</x:v>
      </x:c>
      <x:c r="F42" s="42" t="str">
        <x:f>Winner_Odds!F42</x:f>
        <x:v>Denny Hamlin</x:v>
      </x:c>
      <x:c r="G42" s="36" t="n">
        <x:f>Winner_Odds!G42</x:f>
        <x:v>550</x:v>
      </x:c>
      <x:c r="H42" s="40" t="n">
        <x:f>Winner_Odds!I42</x:f>
        <x:v>0.15384615384615385</x:v>
      </x:c>
      <x:c r="I42" s="40" t="n">
        <x:f>MAX(H42,MIN(Top3_Calibration!$R$4,EXP(Top3_Calibration!$R$3)*POWER(H42,Top3_Calibration!$R$2)))</x:f>
        <x:v>0.3092224497261382</x:v>
      </x:c>
      <x:c r="J42" s="36" t="n">
        <x:f>IF(I42&gt;=0.5,-ROUND((100*I42/(1-I42))/5,0)*5,ROUND((100*(1-I42)/I42)/5,0)*5)</x:f>
        <x:v>225</x:v>
      </x:c>
      <x:c r="K42" t="str">
        <x:v>Estimated</x:v>
      </x:c>
      <x:c r="L42" s="42" t="str">
        <x:v>Power-law fit to matched public Win/Top-3 quotes; 88% cap</x:v>
      </x:c>
      <x:c r="M42" s="42" t="str">
        <x:f>Winner_Odds!L42</x:f>
        <x:v>https://www.foxsports.com/stories/nascar/2026-nascar-odds-vegas-spring-race</x:v>
      </x:c>
    </x:row>
    <x:row r="43">
      <x:c r="A43" t="n">
        <x:f>Winner_Odds!A43</x:f>
        <x:v>2026</x:v>
      </x:c>
      <x:c r="B43" t="n">
        <x:f>Winner_Odds!B43</x:f>
        <x:v>6</x:v>
      </x:c>
      <x:c r="C43" s="34" t="n">
        <x:f>Winner_Odds!C43</x:f>
        <x:v>46103</x:v>
      </x:c>
      <x:c r="D43" s="42" t="str">
        <x:f>Winner_Odds!D43</x:f>
        <x:v>Goodyear 400</x:v>
      </x:c>
      <x:c r="E43" s="42" t="str">
        <x:f>Winner_Odds!E43</x:f>
        <x:v>Darlington Raceway</x:v>
      </x:c>
      <x:c r="F43" s="42" t="str">
        <x:f>Winner_Odds!F43</x:f>
        <x:v>Tyler Reddick</x:v>
      </x:c>
      <x:c r="G43" s="36" t="n">
        <x:f>Winner_Odds!G43</x:f>
        <x:v>300</x:v>
      </x:c>
      <x:c r="H43" s="40" t="n">
        <x:f>Winner_Odds!I43</x:f>
        <x:v>0.25</x:v>
      </x:c>
      <x:c r="I43" s="40" t="n">
        <x:f>MAX(H43,MIN(Top3_Calibration!$R$4,EXP(Top3_Calibration!$R$3)*POWER(H43,Top3_Calibration!$R$2)))</x:f>
        <x:v>0.4518216968387304</x:v>
      </x:c>
      <x:c r="J43" s="36" t="n">
        <x:f>IF(I43&gt;=0.5,-ROUND((100*I43/(1-I43))/5,0)*5,ROUND((100*(1-I43)/I43)/5,0)*5)</x:f>
        <x:v>120</x:v>
      </x:c>
      <x:c r="K43" t="str">
        <x:v>Estimated</x:v>
      </x:c>
      <x:c r="L43" s="42" t="str">
        <x:v>Power-law fit to matched public Win/Top-3 quotes; 88% cap</x:v>
      </x:c>
      <x:c r="M43" s="42" t="str">
        <x:f>Winner_Odds!L43</x:f>
        <x:v>https://www.foxsports.com/stories/nascar/darlington-spring-race-odds</x:v>
      </x:c>
    </x:row>
    <x:row r="44">
      <x:c r="A44" t="n">
        <x:f>Winner_Odds!A44</x:f>
        <x:v>2026</x:v>
      </x:c>
      <x:c r="B44" t="n">
        <x:f>Winner_Odds!B44</x:f>
        <x:v>7</x:v>
      </x:c>
      <x:c r="C44" s="34" t="n">
        <x:f>Winner_Odds!C44</x:f>
        <x:v>46110</x:v>
      </x:c>
      <x:c r="D44" s="42" t="str">
        <x:f>Winner_Odds!D44</x:f>
        <x:v>Cook Out 400</x:v>
      </x:c>
      <x:c r="E44" s="42" t="str">
        <x:f>Winner_Odds!E44</x:f>
        <x:v>Martinsville Speedway</x:v>
      </x:c>
      <x:c r="F44" s="42" t="str">
        <x:f>Winner_Odds!F44</x:f>
        <x:v>Chase Elliott</x:v>
      </x:c>
      <x:c r="G44" s="36" t="n">
        <x:f>Winner_Odds!G44</x:f>
        <x:v>600</x:v>
      </x:c>
      <x:c r="H44" s="40" t="n">
        <x:f>Winner_Odds!I44</x:f>
        <x:v>0.14285714285714285</x:v>
      </x:c>
      <x:c r="I44" s="40" t="n">
        <x:f>MAX(H44,MIN(Top3_Calibration!$R$4,EXP(Top3_Calibration!$R$3)*POWER(H44,Top3_Calibration!$R$2)))</x:f>
        <x:v>0.2918312456361281</x:v>
      </x:c>
      <x:c r="J44" s="36" t="n">
        <x:f>IF(I44&gt;=0.5,-ROUND((100*I44/(1-I44))/5,0)*5,ROUND((100*(1-I44)/I44)/5,0)*5)</x:f>
        <x:v>245</x:v>
      </x:c>
      <x:c r="K44" t="str">
        <x:v>Estimated</x:v>
      </x:c>
      <x:c r="L44" s="42" t="str">
        <x:v>Power-law fit to matched public Win/Top-3 quotes; 88% cap</x:v>
      </x:c>
      <x:c r="M44" s="42" t="str">
        <x:f>Winner_Odds!L44</x:f>
        <x:v>https://www.foxsports.com/stories/nascar/2026-nascar-odds-cook-out-400-martinsville</x:v>
      </x:c>
    </x:row>
    <x:row r="45">
      <x:c r="A45" t="n">
        <x:f>Winner_Odds!A45</x:f>
        <x:v>2026</x:v>
      </x:c>
      <x:c r="B45" t="n">
        <x:f>Winner_Odds!B45</x:f>
        <x:v>8</x:v>
      </x:c>
      <x:c r="C45" s="34" t="n">
        <x:f>Winner_Odds!C45</x:f>
        <x:v>46124</x:v>
      </x:c>
      <x:c r="D45" s="42" t="str">
        <x:f>Winner_Odds!D45</x:f>
        <x:v>Food City 500</x:v>
      </x:c>
      <x:c r="E45" s="42" t="str">
        <x:f>Winner_Odds!E45</x:f>
        <x:v>Bristol Motor Speedway</x:v>
      </x:c>
      <x:c r="F45" s="42" t="str">
        <x:f>Winner_Odds!F45</x:f>
        <x:v>Ty Gibbs</x:v>
      </x:c>
      <x:c r="G45" s="36" t="n">
        <x:f>Winner_Odds!G45</x:f>
        <x:v>700</x:v>
      </x:c>
      <x:c r="H45" s="40" t="n">
        <x:f>Winner_Odds!I45</x:f>
        <x:v>0.125</x:v>
      </x:c>
      <x:c r="I45" s="40" t="n">
        <x:f>MAX(H45,MIN(Top3_Calibration!$R$4,EXP(Top3_Calibration!$R$3)*POWER(H45,Top3_Calibration!$R$2)))</x:f>
        <x:v>0.26292670025365816</x:v>
      </x:c>
      <x:c r="J45" s="36" t="n">
        <x:f>IF(I45&gt;=0.5,-ROUND((100*I45/(1-I45))/5,0)*5,ROUND((100*(1-I45)/I45)/5,0)*5)</x:f>
        <x:v>280</x:v>
      </x:c>
      <x:c r="K45" t="str">
        <x:v>Estimated</x:v>
      </x:c>
      <x:c r="L45" s="42" t="str">
        <x:v>Power-law fit to matched public Win/Top-3 quotes; 88% cap</x:v>
      </x:c>
      <x:c r="M45" s="42" t="str">
        <x:f>Winner_Odds!L45</x:f>
        <x:v>https://www.foxsports.com/stories/nascar/2026-nascar-odds-bristol-spring-race</x:v>
      </x:c>
    </x:row>
    <x:row r="46">
      <x:c r="A46" t="n">
        <x:f>Winner_Odds!A46</x:f>
        <x:v>2026</x:v>
      </x:c>
      <x:c r="B46" t="n">
        <x:f>Winner_Odds!B46</x:f>
        <x:v>9</x:v>
      </x:c>
      <x:c r="C46" s="34" t="n">
        <x:f>Winner_Odds!C46</x:f>
        <x:v>46131</x:v>
      </x:c>
      <x:c r="D46" s="42" t="str">
        <x:f>Winner_Odds!D46</x:f>
        <x:v>AdventHealth 400</x:v>
      </x:c>
      <x:c r="E46" s="42" t="str">
        <x:f>Winner_Odds!E46</x:f>
        <x:v>Kansas Speedway</x:v>
      </x:c>
      <x:c r="F46" s="42" t="str">
        <x:f>Winner_Odds!F46</x:f>
        <x:v>Tyler Reddick</x:v>
      </x:c>
      <x:c r="G46" s="36" t="n">
        <x:f>Winner_Odds!G46</x:f>
        <x:v>330</x:v>
      </x:c>
      <x:c r="H46" s="40" t="n">
        <x:f>Winner_Odds!I46</x:f>
        <x:v>0.23255813953488372</x:v>
      </x:c>
      <x:c r="I46" s="40" t="n">
        <x:f>MAX(H46,MIN(Top3_Calibration!$R$4,EXP(Top3_Calibration!$R$3)*POWER(H46,Top3_Calibration!$R$2)))</x:f>
        <x:v>0.42700617349629744</x:v>
      </x:c>
      <x:c r="J46" s="36" t="n">
        <x:f>IF(I46&gt;=0.5,-ROUND((100*I46/(1-I46))/5,0)*5,ROUND((100*(1-I46)/I46)/5,0)*5)</x:f>
        <x:v>135</x:v>
      </x:c>
      <x:c r="K46" t="str">
        <x:v>Estimated</x:v>
      </x:c>
      <x:c r="L46" s="42" t="str">
        <x:v>Power-law fit to matched public Win/Top-3 quotes; 88% cap</x:v>
      </x:c>
      <x:c r="M46" s="42" t="str">
        <x:f>Winner_Odds!L46</x:f>
        <x:v>https://www.foxsports.com/stories/nascar/2026-nascar-odds-kansas-spring-race</x:v>
      </x:c>
    </x:row>
    <x:row r="47">
      <x:c r="A47" t="n">
        <x:f>Winner_Odds!A47</x:f>
        <x:v>2026</x:v>
      </x:c>
      <x:c r="B47" t="n">
        <x:f>Winner_Odds!B47</x:f>
        <x:v>10</x:v>
      </x:c>
      <x:c r="C47" s="34" t="n">
        <x:f>Winner_Odds!C47</x:f>
        <x:v>46138</x:v>
      </x:c>
      <x:c r="D47" s="42" t="str">
        <x:f>Winner_Odds!D47</x:f>
        <x:v>Jack Link's 500</x:v>
      </x:c>
      <x:c r="E47" s="42" t="str">
        <x:f>Winner_Odds!E47</x:f>
        <x:v>Talladega Superspeedway</x:v>
      </x:c>
      <x:c r="F47" s="42" t="str">
        <x:f>Winner_Odds!F47</x:f>
        <x:v>Carson Hocevar</x:v>
      </x:c>
      <x:c r="G47" s="36" t="n">
        <x:f>Winner_Odds!G47</x:f>
        <x:v>1200</x:v>
      </x:c>
      <x:c r="H47" s="40" t="n">
        <x:f>Winner_Odds!I47</x:f>
        <x:v>0.07692307692307693</x:v>
      </x:c>
      <x:c r="I47" s="40" t="n">
        <x:f>MAX(H47,MIN(Top3_Calibration!$R$4,EXP(Top3_Calibration!$R$3)*POWER(H47,Top3_Calibration!$R$2)))</x:f>
        <x:v>0.1799445199725896</x:v>
      </x:c>
      <x:c r="J47" s="36" t="n">
        <x:f>IF(I47&gt;=0.5,-ROUND((100*I47/(1-I47))/5,0)*5,ROUND((100*(1-I47)/I47)/5,0)*5)</x:f>
        <x:v>455</x:v>
      </x:c>
      <x:c r="K47" t="str">
        <x:v>Estimated</x:v>
      </x:c>
      <x:c r="L47" s="42" t="str">
        <x:v>Power-law fit to matched public Win/Top-3 quotes; 88% cap</x:v>
      </x:c>
      <x:c r="M47" s="42" t="str">
        <x:f>Winner_Odds!L47</x:f>
        <x:v>https://www.foxsports.com/stories/nascar/2026-nascar-odds-talladega-spring-race</x:v>
      </x:c>
    </x:row>
    <x:row r="48">
      <x:c r="A48" t="n">
        <x:f>Winner_Odds!A48</x:f>
        <x:v>2026</x:v>
      </x:c>
      <x:c r="B48" t="n">
        <x:f>Winner_Odds!B48</x:f>
        <x:v>11</x:v>
      </x:c>
      <x:c r="C48" s="34" t="n">
        <x:f>Winner_Odds!C48</x:f>
        <x:v>46145</x:v>
      </x:c>
      <x:c r="D48" s="42" t="str">
        <x:f>Winner_Odds!D48</x:f>
        <x:v>Würth 400</x:v>
      </x:c>
      <x:c r="E48" s="42" t="str">
        <x:f>Winner_Odds!E48</x:f>
        <x:v>Texas Motor Speedway</x:v>
      </x:c>
      <x:c r="F48" s="42" t="str">
        <x:f>Winner_Odds!F48</x:f>
        <x:v>Chase Elliott</x:v>
      </x:c>
      <x:c r="G48" s="36" t="n">
        <x:f>Winner_Odds!G48</x:f>
        <x:v>1400</x:v>
      </x:c>
      <x:c r="H48" s="40" t="n">
        <x:f>Winner_Odds!I48</x:f>
        <x:v>0.06666666666666667</x:v>
      </x:c>
      <x:c r="I48" s="40" t="n">
        <x:f>MAX(H48,MIN(Top3_Calibration!$R$4,EXP(Top3_Calibration!$R$3)*POWER(H48,Top3_Calibration!$R$2)))</x:f>
        <x:v>0.1609145580163389</x:v>
      </x:c>
      <x:c r="J48" s="36" t="n">
        <x:f>IF(I48&gt;=0.5,-ROUND((100*I48/(1-I48))/5,0)*5,ROUND((100*(1-I48)/I48)/5,0)*5)</x:f>
        <x:v>520</x:v>
      </x:c>
      <x:c r="K48" t="str">
        <x:v>Estimated</x:v>
      </x:c>
      <x:c r="L48" s="42" t="str">
        <x:v>Power-law fit to matched public Win/Top-3 quotes; 88% cap</x:v>
      </x:c>
      <x:c r="M48" s="42" t="str">
        <x:f>Winner_Odds!L48</x:f>
        <x:v>https://www.foxsports.com/stories/nascar/2026-nascar-odds-texas-wurth-400</x:v>
      </x:c>
    </x:row>
    <x:row r="49">
      <x:c r="A49" t="n">
        <x:f>Winner_Odds!A49</x:f>
        <x:v>2026</x:v>
      </x:c>
      <x:c r="B49" t="n">
        <x:f>Winner_Odds!B49</x:f>
        <x:v>12</x:v>
      </x:c>
      <x:c r="C49" s="34" t="n">
        <x:f>Winner_Odds!C49</x:f>
        <x:v>46152</x:v>
      </x:c>
      <x:c r="D49" s="42" t="str">
        <x:f>Winner_Odds!D49</x:f>
        <x:v>Go Bowling at The Glen</x:v>
      </x:c>
      <x:c r="E49" s="42" t="str">
        <x:f>Winner_Odds!E49</x:f>
        <x:v>Watkins Glen International</x:v>
      </x:c>
      <x:c r="F49" s="42" t="str">
        <x:f>Winner_Odds!F49</x:f>
        <x:v>Shane van Gisbergen</x:v>
      </x:c>
      <x:c r="G49" s="36" t="n">
        <x:f>Winner_Odds!G49</x:f>
        <x:v>-135</x:v>
      </x:c>
      <x:c r="H49" s="40" t="n">
        <x:f>Winner_Odds!I49</x:f>
        <x:v>0.574468085106383</x:v>
      </x:c>
      <x:c r="I49" s="40" t="n">
        <x:f>MAX(H49,MIN(Top3_Calibration!$R$4,EXP(Top3_Calibration!$R$3)*POWER(H49,Top3_Calibration!$R$2)))</x:f>
        <x:v>0.8653587196296886</x:v>
      </x:c>
      <x:c r="J49" s="36" t="n">
        <x:f>IF(I49&gt;=0.5,-ROUND((100*I49/(1-I49))/5,0)*5,ROUND((100*(1-I49)/I49)/5,0)*5)</x:f>
        <x:v>-645</x:v>
      </x:c>
      <x:c r="K49" t="str">
        <x:v>Estimated</x:v>
      </x:c>
      <x:c r="L49" s="42" t="str">
        <x:v>Power-law fit to matched public Win/Top-3 quotes; 88% cap</x:v>
      </x:c>
      <x:c r="M49" s="42" t="str">
        <x:f>Winner_Odds!L49</x:f>
        <x:v>https://www.foxsports.com/stories/nascar/2026-nascar-odds-watkins-glen</x:v>
      </x:c>
    </x:row>
    <x:row r="50">
      <x:c r="A50" t="n">
        <x:f>Winner_Odds!A50</x:f>
        <x:v>2026</x:v>
      </x:c>
      <x:c r="B50" t="n">
        <x:f>Winner_Odds!B50</x:f>
        <x:v>13</x:v>
      </x:c>
      <x:c r="C50" s="34" t="n">
        <x:f>Winner_Odds!C50</x:f>
        <x:v>46166</x:v>
      </x:c>
      <x:c r="D50" s="42" t="str">
        <x:f>Winner_Odds!D50</x:f>
        <x:v>Coca-Cola 600</x:v>
      </x:c>
      <x:c r="E50" s="42" t="str">
        <x:f>Winner_Odds!E50</x:f>
        <x:v>Charlotte Motor Speedway</x:v>
      </x:c>
      <x:c r="F50" s="42" t="str">
        <x:f>Winner_Odds!F50</x:f>
        <x:v>Daniel Suárez</x:v>
      </x:c>
      <x:c r="G50" s="36" t="n">
        <x:f>Winner_Odds!G50</x:f>
        <x:v>17000</x:v>
      </x:c>
      <x:c r="H50" s="40" t="n">
        <x:f>Winner_Odds!I50</x:f>
        <x:v>0.005847953216374269</x:v>
      </x:c>
      <x:c r="I50" s="40" t="n">
        <x:f>MAX(H50,MIN(Top3_Calibration!$R$4,EXP(Top3_Calibration!$R$3)*POWER(H50,Top3_Calibration!$R$2)))</x:f>
        <x:v>0.024046643514682053</x:v>
      </x:c>
      <x:c r="J50" s="36" t="n">
        <x:f>IF(I50&gt;=0.5,-ROUND((100*I50/(1-I50))/5,0)*5,ROUND((100*(1-I50)/I50)/5,0)*5)</x:f>
        <x:v>4060</x:v>
      </x:c>
      <x:c r="K50" t="str">
        <x:v>Estimated</x:v>
      </x:c>
      <x:c r="L50" s="42" t="str">
        <x:v>Power-law fit to matched public Win/Top-3 quotes; 88% cap</x:v>
      </x:c>
      <x:c r="M50" s="42" t="str">
        <x:f>Winner_Odds!L50</x:f>
        <x:v>https://www.foxsports.com/stories/nascar/2026-nascar-odds-coke-600</x:v>
      </x:c>
    </x:row>
    <x:row r="51">
      <x:c r="A51" t="n">
        <x:f>Winner_Odds!A51</x:f>
        <x:v>2026</x:v>
      </x:c>
      <x:c r="B51" t="n">
        <x:f>Winner_Odds!B51</x:f>
        <x:v>14</x:v>
      </x:c>
      <x:c r="C51" s="34" t="n">
        <x:f>Winner_Odds!C51</x:f>
        <x:v>46173</x:v>
      </x:c>
      <x:c r="D51" s="42" t="str">
        <x:f>Winner_Odds!D51</x:f>
        <x:v>Cracker Barrel 400</x:v>
      </x:c>
      <x:c r="E51" s="42" t="str">
        <x:f>Winner_Odds!E51</x:f>
        <x:v>Nashville Superspeedway</x:v>
      </x:c>
      <x:c r="F51" s="42" t="str">
        <x:f>Winner_Odds!F51</x:f>
        <x:v>Denny Hamlin</x:v>
      </x:c>
      <x:c r="G51" s="36" t="n">
        <x:f>Winner_Odds!G51</x:f>
        <x:v>285</x:v>
      </x:c>
      <x:c r="H51" s="40" t="n">
        <x:f>Winner_Odds!I51</x:f>
        <x:v>0.2597402597402597</x:v>
      </x:c>
      <x:c r="I51" s="40" t="n">
        <x:f>MAX(H51,MIN(Top3_Calibration!$R$4,EXP(Top3_Calibration!$R$3)*POWER(H51,Top3_Calibration!$R$2)))</x:f>
        <x:v>0.4655138940301318</x:v>
      </x:c>
      <x:c r="J51" s="36" t="n">
        <x:f>IF(I51&gt;=0.5,-ROUND((100*I51/(1-I51))/5,0)*5,ROUND((100*(1-I51)/I51)/5,0)*5)</x:f>
        <x:v>115</x:v>
      </x:c>
      <x:c r="K51" t="str">
        <x:v>Estimated</x:v>
      </x:c>
      <x:c r="L51" s="42" t="str">
        <x:v>Power-law fit to matched public Win/Top-3 quotes; 88% cap</x:v>
      </x:c>
      <x:c r="M51" s="42" t="str">
        <x:f>Winner_Odds!L51</x:f>
        <x:v>https://www.foxsports.com/stories/nascar/2026-nascar-odds-nashville-cracker-barrel-400</x:v>
      </x:c>
    </x:row>
    <x:row r="52">
      <x:c r="A52" t="n">
        <x:f>Winner_Odds!A52</x:f>
        <x:v>2026</x:v>
      </x:c>
      <x:c r="B52" t="n">
        <x:f>Winner_Odds!B52</x:f>
        <x:v>15</x:v>
      </x:c>
      <x:c r="C52" s="34" t="n">
        <x:f>Winner_Odds!C52</x:f>
        <x:v>46180</x:v>
      </x:c>
      <x:c r="D52" s="42" t="str">
        <x:f>Winner_Odds!D52</x:f>
        <x:v>FireKeepers Casino 400</x:v>
      </x:c>
      <x:c r="E52" s="42" t="str">
        <x:f>Winner_Odds!E52</x:f>
        <x:v>Michigan International Speedway</x:v>
      </x:c>
      <x:c r="F52" s="42" t="str">
        <x:f>Winner_Odds!F52</x:f>
        <x:v>Denny Hamlin</x:v>
      </x:c>
      <x:c r="G52" s="36" t="n">
        <x:f>Winner_Odds!G52</x:f>
        <x:v>370</x:v>
      </x:c>
      <x:c r="H52" s="40" t="n">
        <x:f>Winner_Odds!I52</x:f>
        <x:v>0.2127659574468085</x:v>
      </x:c>
      <x:c r="I52" s="40" t="n">
        <x:f>MAX(H52,MIN(Top3_Calibration!$R$4,EXP(Top3_Calibration!$R$3)*POWER(H52,Top3_Calibration!$R$2)))</x:f>
        <x:v>0.39834649678688244</x:v>
      </x:c>
      <x:c r="J52" s="36" t="n">
        <x:f>IF(I52&gt;=0.5,-ROUND((100*I52/(1-I52))/5,0)*5,ROUND((100*(1-I52)/I52)/5,0)*5)</x:f>
        <x:v>150</x:v>
      </x:c>
      <x:c r="K52" t="str">
        <x:v>Estimated</x:v>
      </x:c>
      <x:c r="L52" s="42" t="str">
        <x:v>Power-law fit to matched public Win/Top-3 quotes; 88% cap</x:v>
      </x:c>
      <x:c r="M52" s="42" t="str">
        <x:f>Winner_Odds!L52</x:f>
        <x:v>https://www.foxsports.com/stories/nascar/2026-nascar-odds-michigan-firekeepers-casino-400</x:v>
      </x:c>
    </x:row>
    <x:row r="53">
      <x:c r="A53" t="n">
        <x:f>Winner_Odds!A53</x:f>
        <x:v>2026</x:v>
      </x:c>
      <x:c r="B53" t="n">
        <x:f>Winner_Odds!B53</x:f>
        <x:v>16</x:v>
      </x:c>
      <x:c r="C53" s="34" t="n">
        <x:f>Winner_Odds!C53</x:f>
        <x:v>46187</x:v>
      </x:c>
      <x:c r="D53" s="42" t="str">
        <x:f>Winner_Odds!D53</x:f>
        <x:v>The Great American Getaway 400</x:v>
      </x:c>
      <x:c r="E53" s="42" t="str">
        <x:f>Winner_Odds!E53</x:f>
        <x:v>Pocono Raceway</x:v>
      </x:c>
      <x:c r="F53" s="42" t="str">
        <x:f>Winner_Odds!F53</x:f>
        <x:v>Denny Hamlin</x:v>
      </x:c>
      <x:c r="G53" s="36" t="n">
        <x:f>Winner_Odds!G53</x:f>
        <x:v>160</x:v>
      </x:c>
      <x:c r="H53" s="40" t="n">
        <x:f>Winner_Odds!I53</x:f>
        <x:v>0.38461538461538464</x:v>
      </x:c>
      <x:c r="I53" s="40" t="n">
        <x:f>MAX(H53,MIN(Top3_Calibration!$R$4,EXP(Top3_Calibration!$R$3)*POWER(H53,Top3_Calibration!$R$2)))</x:f>
        <x:v>0.6325562197597784</x:v>
      </x:c>
      <x:c r="J53" s="36" t="n">
        <x:f>IF(I53&gt;=0.5,-ROUND((100*I53/(1-I53))/5,0)*5,ROUND((100*(1-I53)/I53)/5,0)*5)</x:f>
        <x:v>-170</x:v>
      </x:c>
      <x:c r="K53" t="str">
        <x:v>Estimated</x:v>
      </x:c>
      <x:c r="L53" s="42" t="str">
        <x:v>Power-law fit to matched public Win/Top-3 quotes; 88% cap</x:v>
      </x:c>
      <x:c r="M53" s="42" t="str">
        <x:f>Winner_Odds!L53</x:f>
        <x:v>https://www.foxsports.com/stories/nascar/2026-nascar-odds-pocono-the-great-american-getaway-400</x:v>
      </x:c>
    </x:row>
    <x:row r="54">
      <x:c r="A54" t="n">
        <x:f>Winner_Odds!A54</x:f>
        <x:v>2026</x:v>
      </x:c>
      <x:c r="B54" t="n">
        <x:f>Winner_Odds!B54</x:f>
        <x:v>17</x:v>
      </x:c>
      <x:c r="C54" s="34" t="n">
        <x:f>Winner_Odds!C54</x:f>
        <x:v>46194</x:v>
      </x:c>
      <x:c r="D54" s="42" t="str">
        <x:f>Winner_Odds!D54</x:f>
        <x:v>Anduril 250 Race the Base</x:v>
      </x:c>
      <x:c r="E54" s="42" t="str">
        <x:f>Winner_Odds!E54</x:f>
        <x:v>Naval Base Coronado Street Course</x:v>
      </x:c>
      <x:c r="F54" s="42" t="str">
        <x:f>Winner_Odds!F54</x:f>
        <x:v>Corey Heim</x:v>
      </x:c>
      <x:c r="G54" s="36" t="n">
        <x:f>Winner_Odds!G54</x:f>
        <x:v>9000</x:v>
      </x:c>
      <x:c r="H54" s="40" t="n">
        <x:f>Winner_Odds!I54</x:f>
        <x:v>0.01098901098901099</x:v>
      </x:c>
      <x:c r="I54" s="40" t="n">
        <x:f>MAX(H54,MIN(Top3_Calibration!$R$4,EXP(Top3_Calibration!$R$3)*POWER(H54,Top3_Calibration!$R$2)))</x:f>
        <x:v>0.03935850097578261</x:v>
      </x:c>
      <x:c r="J54" s="36" t="n">
        <x:f>IF(I54&gt;=0.5,-ROUND((100*I54/(1-I54))/5,0)*5,ROUND((100*(1-I54)/I54)/5,0)*5)</x:f>
        <x:v>2440</x:v>
      </x:c>
      <x:c r="K54" t="str">
        <x:v>Estimated</x:v>
      </x:c>
      <x:c r="L54" s="42" t="str">
        <x:v>Power-law fit to matched public Win/Top-3 quotes; 88% cap</x:v>
      </x:c>
      <x:c r="M54" s="42" t="str">
        <x:f>Winner_Odds!L54</x:f>
        <x:v>https://www.foxsports.com/stories/nascar/2026-nascar-odds-naval-base-coronado-san-diego-anduril-250</x:v>
      </x:c>
    </x:row>
    <x:row r="55">
      <x:c r="A55" t="n">
        <x:f>Winner_Odds!A55</x:f>
        <x:v>2026</x:v>
      </x:c>
      <x:c r="B55" t="n">
        <x:f>Winner_Odds!B55</x:f>
        <x:v>18</x:v>
      </x:c>
      <x:c r="C55" s="34" t="n">
        <x:f>Winner_Odds!C55</x:f>
        <x:v>46201</x:v>
      </x:c>
      <x:c r="D55" s="42" t="str">
        <x:f>Winner_Odds!D55</x:f>
        <x:v>Toyota/Save Mart 350</x:v>
      </x:c>
      <x:c r="E55" s="42" t="str">
        <x:f>Winner_Odds!E55</x:f>
        <x:v>Sonoma Raceway</x:v>
      </x:c>
      <x:c r="F55" s="42" t="str">
        <x:f>Winner_Odds!F55</x:f>
        <x:v>Shane van Gisbergen</x:v>
      </x:c>
      <x:c r="G55" s="36" t="n">
        <x:f>Winner_Odds!G55</x:f>
        <x:v>-165</x:v>
      </x:c>
      <x:c r="H55" s="40" t="n">
        <x:f>Winner_Odds!I55</x:f>
        <x:v>0.6226415094339622</x:v>
      </x:c>
      <x:c r="I55" s="40" t="n">
        <x:f>MAX(H55,MIN(Top3_Calibration!$R$4,EXP(Top3_Calibration!$R$3)*POWER(H55,Top3_Calibration!$R$2)))</x:f>
        <x:v>0.88</x:v>
      </x:c>
      <x:c r="J55" s="36" t="n">
        <x:f>IF(I55&gt;=0.5,-ROUND((100*I55/(1-I55))/5,0)*5,ROUND((100*(1-I55)/I55)/5,0)*5)</x:f>
        <x:v>-735</x:v>
      </x:c>
      <x:c r="K55" t="str">
        <x:v>Estimated</x:v>
      </x:c>
      <x:c r="L55" s="42" t="str">
        <x:v>Power-law fit to matched public Win/Top-3 quotes; 88% cap</x:v>
      </x:c>
      <x:c r="M55" s="42" t="str">
        <x:f>Winner_Odds!L55</x:f>
        <x:v>https://www.foxsports.com/stories/nascar/2026-nascar-odds-sonoma</x:v>
      </x:c>
    </x:row>
    <x:row r="56">
      <x:c r="A56" t="n">
        <x:f>Winner_Odds!A56</x:f>
        <x:v>2026</x:v>
      </x:c>
      <x:c r="B56" t="n">
        <x:f>Winner_Odds!B56</x:f>
        <x:v>19</x:v>
      </x:c>
      <x:c r="C56" s="34" t="n">
        <x:f>Winner_Odds!C56</x:f>
        <x:v>46208</x:v>
      </x:c>
      <x:c r="D56" s="42" t="str">
        <x:f>Winner_Odds!D56</x:f>
        <x:v>eero 400</x:v>
      </x:c>
      <x:c r="E56" s="42" t="str">
        <x:f>Winner_Odds!E56</x:f>
        <x:v>Chicagoland Speedway</x:v>
      </x:c>
      <x:c r="F56" s="42" t="str">
        <x:f>Winner_Odds!F56</x:f>
        <x:v>Chase Briscoe</x:v>
      </x:c>
      <x:c r="G56" s="36" t="n">
        <x:f>Winner_Odds!G56</x:f>
        <x:v>1800</x:v>
      </x:c>
      <x:c r="H56" s="40" t="n">
        <x:f>Winner_Odds!I56</x:f>
        <x:v>0.05263157894736842</x:v>
      </x:c>
      <x:c r="I56" s="40" t="n">
        <x:f>MAX(H56,MIN(Top3_Calibration!$R$4,EXP(Top3_Calibration!$R$3)*POWER(H56,Top3_Calibration!$R$2)))</x:f>
        <x:v>0.13378471897658617</x:v>
      </x:c>
      <x:c r="J56" s="36" t="n">
        <x:f>IF(I56&gt;=0.5,-ROUND((100*I56/(1-I56))/5,0)*5,ROUND((100*(1-I56)/I56)/5,0)*5)</x:f>
        <x:v>645</x:v>
      </x:c>
      <x:c r="K56" t="str">
        <x:v>Estimated</x:v>
      </x:c>
      <x:c r="L56" s="42" t="str">
        <x:v>Power-law fit to matched public Win/Top-3 quotes; 88% cap</x:v>
      </x:c>
      <x:c r="M56" s="42" t="str">
        <x:f>Winner_Odds!L56</x:f>
        <x:v>https://www.foxsports.com/stories/nascar/2026-nascar-odds-chicagoland-eero-400</x:v>
      </x:c>
    </x:row>
    <x:row r="57">
      <x:c r="A57" t="n">
        <x:f>Winner_Odds!A57</x:f>
        <x:v>2026</x:v>
      </x:c>
      <x:c r="B57" t="n">
        <x:f>Winner_Odds!B57</x:f>
        <x:v>20</x:v>
      </x:c>
      <x:c r="C57" s="34" t="n">
        <x:f>Winner_Odds!C57</x:f>
        <x:v>46215</x:v>
      </x:c>
      <x:c r="D57" s="42" t="str">
        <x:f>Winner_Odds!D57</x:f>
        <x:v>Quaker State 400</x:v>
      </x:c>
      <x:c r="E57" s="42" t="str">
        <x:f>Winner_Odds!E57</x:f>
        <x:v>EchoPark Speedway</x:v>
      </x:c>
      <x:c r="F57" s="42" t="str">
        <x:f>Winner_Odds!F57</x:f>
        <x:v>Ryan Blaney</x:v>
      </x:c>
      <x:c r="G57" s="36" t="n">
        <x:f>Winner_Odds!G57</x:f>
        <x:v>700</x:v>
      </x:c>
      <x:c r="H57" s="40" t="n">
        <x:f>Winner_Odds!I57</x:f>
        <x:v>0.125</x:v>
      </x:c>
      <x:c r="I57" s="40" t="n">
        <x:f>MAX(H57,MIN(Top3_Calibration!$R$4,EXP(Top3_Calibration!$R$3)*POWER(H57,Top3_Calibration!$R$2)))</x:f>
        <x:v>0.26292670025365816</x:v>
      </x:c>
      <x:c r="J57" s="36" t="n">
        <x:f>IF(I57&gt;=0.5,-ROUND((100*I57/(1-I57))/5,0)*5,ROUND((100*(1-I57)/I57)/5,0)*5)</x:f>
        <x:v>280</x:v>
      </x:c>
      <x:c r="K57" t="str">
        <x:v>Estimated</x:v>
      </x:c>
      <x:c r="L57" s="42" t="str">
        <x:v>Power-law fit to matched public Win/Top-3 quotes; 88% cap</x:v>
      </x:c>
      <x:c r="M57" s="42" t="str">
        <x:f>Winner_Odds!L57</x:f>
        <x:v>https://www.foxsports.com/stories/nascar/2026-nascar-odds-atlanta-summer-race-echopark-speedway</x:v>
      </x:c>
    </x:row>
  </x:sheetData>
  <x:conditionalFormatting sqref="I2:I57">
    <x:cfRule type="colorScale" priority="1">
      <x:colorScale>
        <x:cfvo type="min"/>
        <x:cfvo type="percentile" val="50"/>
        <x:cfvo type="max"/>
        <x:color rgb="FFFFFFFF"/>
        <x:color rgb="FFFCE8DA"/>
        <x:color rgb="FFF26A2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1996d73d800444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4" hidden="0" customWidth="1"/>
    <x:col min="4" max="4" width="16" hidden="0" customWidth="1"/>
    <x:col min="5" max="5" width="22" hidden="0" customWidth="1"/>
    <x:col min="6" max="6" width="15" hidden="0" customWidth="1"/>
    <x:col min="7" max="7" width="14" hidden="0" customWidth="1"/>
    <x:col min="8" max="8" width="13" hidden="0" customWidth="1"/>
    <x:col min="9" max="9" width="44" hidden="0" customWidth="1"/>
    <x:col min="10" max="10" width="31" hidden="0" customWidth="1"/>
    <x:col min="11" max="11" width="12" hidden="0" customWidth="1"/>
  </x:cols>
  <x:sheetData>
    <x:row r="1">
      <x:c r="A1" s="119" t="str">
        <x:v>Historical NASCAR Qualifying Markets Located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</x:row>
    <x:row r="2">
      <x:c r="A2" s="119"/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</x:row>
    <x:row r="4">
      <x:c r="A4" s="123" t="str">
        <x:v>Public archives confirm that qualifying markets existed, especially a 'win the pole' outright for the Daytona 500. A complete 2026 Caesars opening board was recovered. Outside Daytona, public historical boards are much rarer; qualifying head-to-head matchups may have existed at books but were not preserved consistently in indexed articles.</x:v>
      </x:c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</x:row>
    <x:row r="5">
      <x:c r="A5" s="123"/>
      <x:c r="B5" s="123"/>
      <x:c r="C5" s="123"/>
      <x:c r="D5" s="123"/>
      <x:c r="E5" s="123"/>
      <x:c r="F5" s="123"/>
      <x:c r="G5" s="123"/>
      <x:c r="H5" s="123"/>
      <x:c r="I5" s="123"/>
      <x:c r="J5" s="123"/>
      <x:c r="K5" s="123"/>
    </x:row>
    <x:row r="6">
      <x:c r="A6" s="123"/>
      <x:c r="B6" s="123"/>
      <x:c r="C6" s="123"/>
      <x:c r="D6" s="123"/>
      <x:c r="E6" s="123"/>
      <x:c r="F6" s="123"/>
      <x:c r="G6" s="123"/>
      <x:c r="H6" s="123"/>
      <x:c r="I6" s="123"/>
      <x:c r="J6" s="123"/>
      <x:c r="K6" s="123"/>
    </x:row>
    <x:row r="8" ht="32" customHeight="1">
      <x:c r="A8" s="117" t="str">
        <x:v>Season</x:v>
      </x:c>
      <x:c r="B8" s="117" t="str">
        <x:v>Qualifying Date</x:v>
      </x:c>
      <x:c r="C8" s="117" t="str">
        <x:v>Event</x:v>
      </x:c>
      <x:c r="D8" s="117" t="str">
        <x:v>Market</x:v>
      </x:c>
      <x:c r="E8" s="117" t="str">
        <x:v>Driver</x:v>
      </x:c>
      <x:c r="F8" s="117" t="str">
        <x:v>American Odds</x:v>
      </x:c>
      <x:c r="G8" s="117" t="str">
        <x:v>Sportsbook</x:v>
      </x:c>
      <x:c r="H8" s="117" t="str">
        <x:v>Odds As Of</x:v>
      </x:c>
      <x:c r="I8" s="117" t="str">
        <x:v>Source URL</x:v>
      </x:c>
      <x:c r="J8" s="117" t="str">
        <x:v>Archive Quality</x:v>
      </x:c>
      <x:c r="K8" s="117" t="str">
        <x:v>Won Pole?</x:v>
      </x:c>
    </x:row>
    <x:row r="9">
      <x:c r="A9" t="n">
        <x:v>2026</x:v>
      </x:c>
      <x:c r="B9" s="34" t="n">
        <x:v>46064</x:v>
      </x:c>
      <x:c r="C9" s="42" t="str">
        <x:v>Daytona 500 Pole</x:v>
      </x:c>
      <x:c r="D9" s="42" t="str">
        <x:v>Pole winner</x:v>
      </x:c>
      <x:c r="E9" s="42" t="str">
        <x:v>Chase Briscoe</x:v>
      </x:c>
      <x:c r="F9" s="36" t="n">
        <x:v>400</x:v>
      </x:c>
      <x:c r="G9" t="str">
        <x:v>Caesars</x:v>
      </x:c>
      <x:c r="H9" s="34" t="n">
        <x:v>46035</x:v>
      </x:c>
      <x:c r="I9" s="42" t="str">
        <x:v>https://theracingexperts.com/here-are-the-opening-odds-for-the-2026-daytona-500/</x:v>
      </x:c>
      <x:c r="J9" s="42" t="str">
        <x:v>Full archived opening board</x:v>
      </x:c>
      <x:c r="K9" t="str">
        <x:v>No</x:v>
      </x:c>
    </x:row>
    <x:row r="10">
      <x:c r="A10" t="n">
        <x:v>2026</x:v>
      </x:c>
      <x:c r="B10" s="34" t="n">
        <x:v>46064</x:v>
      </x:c>
      <x:c r="C10" s="42" t="str">
        <x:v>Daytona 500 Pole</x:v>
      </x:c>
      <x:c r="D10" s="42" t="str">
        <x:v>Pole winner</x:v>
      </x:c>
      <x:c r="E10" s="42" t="str">
        <x:v>Joey Logano</x:v>
      </x:c>
      <x:c r="F10" s="36" t="n">
        <x:v>600</x:v>
      </x:c>
      <x:c r="G10" t="str">
        <x:v>Caesars</x:v>
      </x:c>
      <x:c r="H10" s="34" t="n">
        <x:v>46035</x:v>
      </x:c>
      <x:c r="I10" s="42" t="str">
        <x:v>https://theracingexperts.com/here-are-the-opening-odds-for-the-2026-daytona-500/</x:v>
      </x:c>
      <x:c r="J10" s="42" t="str">
        <x:v>Full archived opening board</x:v>
      </x:c>
      <x:c r="K10" t="str">
        <x:v>No</x:v>
      </x:c>
    </x:row>
    <x:row r="11">
      <x:c r="A11" t="n">
        <x:v>2026</x:v>
      </x:c>
      <x:c r="B11" s="34" t="n">
        <x:v>46064</x:v>
      </x:c>
      <x:c r="C11" s="42" t="str">
        <x:v>Daytona 500 Pole</x:v>
      </x:c>
      <x:c r="D11" s="42" t="str">
        <x:v>Pole winner</x:v>
      </x:c>
      <x:c r="E11" s="42" t="str">
        <x:v>Ryan Blaney</x:v>
      </x:c>
      <x:c r="F11" s="36" t="n">
        <x:v>600</x:v>
      </x:c>
      <x:c r="G11" t="str">
        <x:v>Caesars</x:v>
      </x:c>
      <x:c r="H11" s="34" t="n">
        <x:v>46035</x:v>
      </x:c>
      <x:c r="I11" s="42" t="str">
        <x:v>https://theracingexperts.com/here-are-the-opening-odds-for-the-2026-daytona-500/</x:v>
      </x:c>
      <x:c r="J11" s="42" t="str">
        <x:v>Full archived opening board</x:v>
      </x:c>
      <x:c r="K11" t="str">
        <x:v>No</x:v>
      </x:c>
    </x:row>
    <x:row r="12">
      <x:c r="A12" t="n">
        <x:v>2026</x:v>
      </x:c>
      <x:c r="B12" s="34" t="n">
        <x:v>46064</x:v>
      </x:c>
      <x:c r="C12" s="42" t="str">
        <x:v>Daytona 500 Pole</x:v>
      </x:c>
      <x:c r="D12" s="42" t="str">
        <x:v>Pole winner</x:v>
      </x:c>
      <x:c r="E12" s="42" t="str">
        <x:v>Austin Cindric</x:v>
      </x:c>
      <x:c r="F12" s="36" t="n">
        <x:v>650</x:v>
      </x:c>
      <x:c r="G12" t="str">
        <x:v>Caesars</x:v>
      </x:c>
      <x:c r="H12" s="34" t="n">
        <x:v>46035</x:v>
      </x:c>
      <x:c r="I12" s="42" t="str">
        <x:v>https://theracingexperts.com/here-are-the-opening-odds-for-the-2026-daytona-500/</x:v>
      </x:c>
      <x:c r="J12" s="42" t="str">
        <x:v>Full archived opening board</x:v>
      </x:c>
      <x:c r="K12" t="str">
        <x:v>No</x:v>
      </x:c>
    </x:row>
    <x:row r="13">
      <x:c r="A13" t="n">
        <x:v>2026</x:v>
      </x:c>
      <x:c r="B13" s="34" t="n">
        <x:v>46064</x:v>
      </x:c>
      <x:c r="C13" s="42" t="str">
        <x:v>Daytona 500 Pole</x:v>
      </x:c>
      <x:c r="D13" s="42" t="str">
        <x:v>Pole winner</x:v>
      </x:c>
      <x:c r="E13" s="42" t="str">
        <x:v>Chris Buescher</x:v>
      </x:c>
      <x:c r="F13" s="36" t="n">
        <x:v>1000</x:v>
      </x:c>
      <x:c r="G13" t="str">
        <x:v>Caesars</x:v>
      </x:c>
      <x:c r="H13" s="34" t="n">
        <x:v>46035</x:v>
      </x:c>
      <x:c r="I13" s="42" t="str">
        <x:v>https://theracingexperts.com/here-are-the-opening-odds-for-the-2026-daytona-500/</x:v>
      </x:c>
      <x:c r="J13" s="42" t="str">
        <x:v>Full archived opening board</x:v>
      </x:c>
      <x:c r="K13" t="str">
        <x:v>No</x:v>
      </x:c>
    </x:row>
    <x:row r="14">
      <x:c r="A14" t="n">
        <x:v>2026</x:v>
      </x:c>
      <x:c r="B14" s="34" t="n">
        <x:v>46064</x:v>
      </x:c>
      <x:c r="C14" s="42" t="str">
        <x:v>Daytona 500 Pole</x:v>
      </x:c>
      <x:c r="D14" s="42" t="str">
        <x:v>Pole winner</x:v>
      </x:c>
      <x:c r="E14" s="42" t="str">
        <x:v>Kyle Larson</x:v>
      </x:c>
      <x:c r="F14" s="36" t="n">
        <x:v>1000</x:v>
      </x:c>
      <x:c r="G14" t="str">
        <x:v>Caesars</x:v>
      </x:c>
      <x:c r="H14" s="34" t="n">
        <x:v>46035</x:v>
      </x:c>
      <x:c r="I14" s="42" t="str">
        <x:v>https://theracingexperts.com/here-are-the-opening-odds-for-the-2026-daytona-500/</x:v>
      </x:c>
      <x:c r="J14" s="42" t="str">
        <x:v>Full archived opening board</x:v>
      </x:c>
      <x:c r="K14" t="str">
        <x:v>No</x:v>
      </x:c>
    </x:row>
    <x:row r="15">
      <x:c r="A15" t="n">
        <x:v>2026</x:v>
      </x:c>
      <x:c r="B15" s="34" t="n">
        <x:v>46064</x:v>
      </x:c>
      <x:c r="C15" s="42" t="str">
        <x:v>Daytona 500 Pole</x:v>
      </x:c>
      <x:c r="D15" s="42" t="str">
        <x:v>Pole winner</x:v>
      </x:c>
      <x:c r="E15" s="42" t="str">
        <x:v>Michael McDowell</x:v>
      </x:c>
      <x:c r="F15" s="36" t="n">
        <x:v>1100</x:v>
      </x:c>
      <x:c r="G15" t="str">
        <x:v>Caesars</x:v>
      </x:c>
      <x:c r="H15" s="34" t="n">
        <x:v>46035</x:v>
      </x:c>
      <x:c r="I15" s="42" t="str">
        <x:v>https://theracingexperts.com/here-are-the-opening-odds-for-the-2026-daytona-500/</x:v>
      </x:c>
      <x:c r="J15" s="42" t="str">
        <x:v>Full archived opening board</x:v>
      </x:c>
      <x:c r="K15" t="str">
        <x:v>No</x:v>
      </x:c>
    </x:row>
    <x:row r="16">
      <x:c r="A16" t="n">
        <x:v>2026</x:v>
      </x:c>
      <x:c r="B16" s="34" t="n">
        <x:v>46064</x:v>
      </x:c>
      <x:c r="C16" s="42" t="str">
        <x:v>Daytona 500 Pole</x:v>
      </x:c>
      <x:c r="D16" s="42" t="str">
        <x:v>Pole winner</x:v>
      </x:c>
      <x:c r="E16" s="42" t="str">
        <x:v>Alex Bowman</x:v>
      </x:c>
      <x:c r="F16" s="36" t="n">
        <x:v>1400</x:v>
      </x:c>
      <x:c r="G16" t="str">
        <x:v>Caesars</x:v>
      </x:c>
      <x:c r="H16" s="34" t="n">
        <x:v>46035</x:v>
      </x:c>
      <x:c r="I16" s="42" t="str">
        <x:v>https://theracingexperts.com/here-are-the-opening-odds-for-the-2026-daytona-500/</x:v>
      </x:c>
      <x:c r="J16" s="42" t="str">
        <x:v>Full archived opening board</x:v>
      </x:c>
      <x:c r="K16" t="str">
        <x:v>No</x:v>
      </x:c>
    </x:row>
    <x:row r="17">
      <x:c r="A17" t="n">
        <x:v>2026</x:v>
      </x:c>
      <x:c r="B17" s="34" t="n">
        <x:v>46064</x:v>
      </x:c>
      <x:c r="C17" s="42" t="str">
        <x:v>Daytona 500 Pole</x:v>
      </x:c>
      <x:c r="D17" s="42" t="str">
        <x:v>Pole winner</x:v>
      </x:c>
      <x:c r="E17" s="42" t="str">
        <x:v>Todd Gilliland</x:v>
      </x:c>
      <x:c r="F17" s="36" t="n">
        <x:v>1500</x:v>
      </x:c>
      <x:c r="G17" t="str">
        <x:v>Caesars</x:v>
      </x:c>
      <x:c r="H17" s="34" t="n">
        <x:v>46035</x:v>
      </x:c>
      <x:c r="I17" s="42" t="str">
        <x:v>https://theracingexperts.com/here-are-the-opening-odds-for-the-2026-daytona-500/</x:v>
      </x:c>
      <x:c r="J17" s="42" t="str">
        <x:v>Full archived opening board</x:v>
      </x:c>
      <x:c r="K17" t="str">
        <x:v>No</x:v>
      </x:c>
    </x:row>
    <x:row r="18">
      <x:c r="A18" t="n">
        <x:v>2026</x:v>
      </x:c>
      <x:c r="B18" s="34" t="n">
        <x:v>46064</x:v>
      </x:c>
      <x:c r="C18" s="42" t="str">
        <x:v>Daytona 500 Pole</x:v>
      </x:c>
      <x:c r="D18" s="42" t="str">
        <x:v>Pole winner</x:v>
      </x:c>
      <x:c r="E18" s="42" t="str">
        <x:v>Ryan Preece</x:v>
      </x:c>
      <x:c r="F18" s="36" t="n">
        <x:v>1500</x:v>
      </x:c>
      <x:c r="G18" t="str">
        <x:v>Caesars</x:v>
      </x:c>
      <x:c r="H18" s="34" t="n">
        <x:v>46035</x:v>
      </x:c>
      <x:c r="I18" s="42" t="str">
        <x:v>https://theracingexperts.com/here-are-the-opening-odds-for-the-2026-daytona-500/</x:v>
      </x:c>
      <x:c r="J18" s="42" t="str">
        <x:v>Full archived opening board</x:v>
      </x:c>
      <x:c r="K18" t="str">
        <x:v>No</x:v>
      </x:c>
    </x:row>
    <x:row r="19">
      <x:c r="A19" t="n">
        <x:v>2026</x:v>
      </x:c>
      <x:c r="B19" s="34" t="n">
        <x:v>46064</x:v>
      </x:c>
      <x:c r="C19" s="42" t="str">
        <x:v>Daytona 500 Pole</x:v>
      </x:c>
      <x:c r="D19" s="42" t="str">
        <x:v>Pole winner</x:v>
      </x:c>
      <x:c r="E19" s="42" t="str">
        <x:v>Brad Keselowski</x:v>
      </x:c>
      <x:c r="F19" s="36" t="n">
        <x:v>1500</x:v>
      </x:c>
      <x:c r="G19" t="str">
        <x:v>Caesars</x:v>
      </x:c>
      <x:c r="H19" s="34" t="n">
        <x:v>46035</x:v>
      </x:c>
      <x:c r="I19" s="42" t="str">
        <x:v>https://theracingexperts.com/here-are-the-opening-odds-for-the-2026-daytona-500/</x:v>
      </x:c>
      <x:c r="J19" s="42" t="str">
        <x:v>Full archived opening board</x:v>
      </x:c>
      <x:c r="K19" t="str">
        <x:v>No</x:v>
      </x:c>
    </x:row>
    <x:row r="20">
      <x:c r="A20" t="n">
        <x:v>2026</x:v>
      </x:c>
      <x:c r="B20" s="34" t="n">
        <x:v>46064</x:v>
      </x:c>
      <x:c r="C20" s="42" t="str">
        <x:v>Daytona 500 Pole</x:v>
      </x:c>
      <x:c r="D20" s="42" t="str">
        <x:v>Pole winner</x:v>
      </x:c>
      <x:c r="E20" s="42" t="str">
        <x:v>Zane Smith</x:v>
      </x:c>
      <x:c r="F20" s="36" t="n">
        <x:v>1600</x:v>
      </x:c>
      <x:c r="G20" t="str">
        <x:v>Caesars</x:v>
      </x:c>
      <x:c r="H20" s="34" t="n">
        <x:v>46035</x:v>
      </x:c>
      <x:c r="I20" s="42" t="str">
        <x:v>https://theracingexperts.com/here-are-the-opening-odds-for-the-2026-daytona-500/</x:v>
      </x:c>
      <x:c r="J20" s="42" t="str">
        <x:v>Full archived opening board</x:v>
      </x:c>
      <x:c r="K20" t="str">
        <x:v>No</x:v>
      </x:c>
    </x:row>
    <x:row r="21">
      <x:c r="A21" t="n">
        <x:v>2026</x:v>
      </x:c>
      <x:c r="B21" s="34" t="n">
        <x:v>46064</x:v>
      </x:c>
      <x:c r="C21" s="42" t="str">
        <x:v>Daytona 500 Pole</x:v>
      </x:c>
      <x:c r="D21" s="42" t="str">
        <x:v>Pole winner</x:v>
      </x:c>
      <x:c r="E21" s="42" t="str">
        <x:v>Christopher Bell</x:v>
      </x:c>
      <x:c r="F21" s="36" t="n">
        <x:v>1700</x:v>
      </x:c>
      <x:c r="G21" t="str">
        <x:v>Caesars</x:v>
      </x:c>
      <x:c r="H21" s="34" t="n">
        <x:v>46035</x:v>
      </x:c>
      <x:c r="I21" s="42" t="str">
        <x:v>https://theracingexperts.com/here-are-the-opening-odds-for-the-2026-daytona-500/</x:v>
      </x:c>
      <x:c r="J21" s="42" t="str">
        <x:v>Full archived opening board</x:v>
      </x:c>
      <x:c r="K21" t="str">
        <x:v>No</x:v>
      </x:c>
    </x:row>
    <x:row r="22">
      <x:c r="A22" t="n">
        <x:v>2026</x:v>
      </x:c>
      <x:c r="B22" s="34" t="n">
        <x:v>46064</x:v>
      </x:c>
      <x:c r="C22" s="42" t="str">
        <x:v>Daytona 500 Pole</x:v>
      </x:c>
      <x:c r="D22" s="42" t="str">
        <x:v>Pole winner</x:v>
      </x:c>
      <x:c r="E22" s="42" t="str">
        <x:v>Josh Berry</x:v>
      </x:c>
      <x:c r="F22" s="36" t="n">
        <x:v>1700</x:v>
      </x:c>
      <x:c r="G22" t="str">
        <x:v>Caesars</x:v>
      </x:c>
      <x:c r="H22" s="34" t="n">
        <x:v>46035</x:v>
      </x:c>
      <x:c r="I22" s="42" t="str">
        <x:v>https://theracingexperts.com/here-are-the-opening-odds-for-the-2026-daytona-500/</x:v>
      </x:c>
      <x:c r="J22" s="42" t="str">
        <x:v>Full archived opening board</x:v>
      </x:c>
      <x:c r="K22" t="str">
        <x:v>No</x:v>
      </x:c>
    </x:row>
    <x:row r="23">
      <x:c r="A23" t="n">
        <x:v>2026</x:v>
      </x:c>
      <x:c r="B23" s="34" t="n">
        <x:v>46064</x:v>
      </x:c>
      <x:c r="C23" s="42" t="str">
        <x:v>Daytona 500 Pole</x:v>
      </x:c>
      <x:c r="D23" s="42" t="str">
        <x:v>Pole winner</x:v>
      </x:c>
      <x:c r="E23" s="42" t="str">
        <x:v>Chase Elliott</x:v>
      </x:c>
      <x:c r="F23" s="36" t="n">
        <x:v>2000</x:v>
      </x:c>
      <x:c r="G23" t="str">
        <x:v>Caesars</x:v>
      </x:c>
      <x:c r="H23" s="34" t="n">
        <x:v>46035</x:v>
      </x:c>
      <x:c r="I23" s="42" t="str">
        <x:v>https://theracingexperts.com/here-are-the-opening-odds-for-the-2026-daytona-500/</x:v>
      </x:c>
      <x:c r="J23" s="42" t="str">
        <x:v>Full archived opening board</x:v>
      </x:c>
      <x:c r="K23" t="str">
        <x:v>No</x:v>
      </x:c>
    </x:row>
    <x:row r="24">
      <x:c r="A24" t="n">
        <x:v>2026</x:v>
      </x:c>
      <x:c r="B24" s="34" t="n">
        <x:v>46064</x:v>
      </x:c>
      <x:c r="C24" s="42" t="str">
        <x:v>Daytona 500 Pole</x:v>
      </x:c>
      <x:c r="D24" s="42" t="str">
        <x:v>Pole winner</x:v>
      </x:c>
      <x:c r="E24" s="42" t="str">
        <x:v>William Byron</x:v>
      </x:c>
      <x:c r="F24" s="36" t="n">
        <x:v>2500</x:v>
      </x:c>
      <x:c r="G24" t="str">
        <x:v>Caesars</x:v>
      </x:c>
      <x:c r="H24" s="34" t="n">
        <x:v>46035</x:v>
      </x:c>
      <x:c r="I24" s="42" t="str">
        <x:v>https://theracingexperts.com/here-are-the-opening-odds-for-the-2026-daytona-500/</x:v>
      </x:c>
      <x:c r="J24" s="42" t="str">
        <x:v>Full archived opening board</x:v>
      </x:c>
      <x:c r="K24" t="str">
        <x:v>No</x:v>
      </x:c>
    </x:row>
    <x:row r="25">
      <x:c r="A25" t="n">
        <x:v>2026</x:v>
      </x:c>
      <x:c r="B25" s="34" t="n">
        <x:v>46064</x:v>
      </x:c>
      <x:c r="C25" s="42" t="str">
        <x:v>Daytona 500 Pole</x:v>
      </x:c>
      <x:c r="D25" s="42" t="str">
        <x:v>Pole winner</x:v>
      </x:c>
      <x:c r="E25" s="42" t="str">
        <x:v>Denny Hamlin</x:v>
      </x:c>
      <x:c r="F25" s="36" t="n">
        <x:v>2500</x:v>
      </x:c>
      <x:c r="G25" t="str">
        <x:v>Caesars</x:v>
      </x:c>
      <x:c r="H25" s="34" t="n">
        <x:v>46035</x:v>
      </x:c>
      <x:c r="I25" s="42" t="str">
        <x:v>https://theracingexperts.com/here-are-the-opening-odds-for-the-2026-daytona-500/</x:v>
      </x:c>
      <x:c r="J25" s="42" t="str">
        <x:v>Full archived opening board</x:v>
      </x:c>
      <x:c r="K25" t="str">
        <x:v>No</x:v>
      </x:c>
    </x:row>
    <x:row r="26">
      <x:c r="A26" t="n">
        <x:v>2026</x:v>
      </x:c>
      <x:c r="B26" s="34" t="n">
        <x:v>46064</x:v>
      </x:c>
      <x:c r="C26" s="42" t="str">
        <x:v>Daytona 500 Pole</x:v>
      </x:c>
      <x:c r="D26" s="42" t="str">
        <x:v>Pole winner</x:v>
      </x:c>
      <x:c r="E26" s="42" t="str">
        <x:v>Kyle Busch</x:v>
      </x:c>
      <x:c r="F26" s="36" t="n">
        <x:v>3000</x:v>
      </x:c>
      <x:c r="G26" t="str">
        <x:v>Caesars</x:v>
      </x:c>
      <x:c r="H26" s="34" t="n">
        <x:v>46035</x:v>
      </x:c>
      <x:c r="I26" s="42" t="str">
        <x:v>https://theracingexperts.com/here-are-the-opening-odds-for-the-2026-daytona-500/</x:v>
      </x:c>
      <x:c r="J26" s="42" t="str">
        <x:v>Full archived opening board</x:v>
      </x:c>
      <x:c r="K26" t="str">
        <x:v>Yes</x:v>
      </x:c>
    </x:row>
    <x:row r="27">
      <x:c r="A27" t="n">
        <x:v>2026</x:v>
      </x:c>
      <x:c r="B27" s="34" t="n">
        <x:v>46064</x:v>
      </x:c>
      <x:c r="C27" s="42" t="str">
        <x:v>Daytona 500 Pole</x:v>
      </x:c>
      <x:c r="D27" s="42" t="str">
        <x:v>Pole winner</x:v>
      </x:c>
      <x:c r="E27" s="42" t="str">
        <x:v>Ross Chastain</x:v>
      </x:c>
      <x:c r="F27" s="36" t="n">
        <x:v>4000</x:v>
      </x:c>
      <x:c r="G27" t="str">
        <x:v>Caesars</x:v>
      </x:c>
      <x:c r="H27" s="34" t="n">
        <x:v>46035</x:v>
      </x:c>
      <x:c r="I27" s="42" t="str">
        <x:v>https://theracingexperts.com/here-are-the-opening-odds-for-the-2026-daytona-500/</x:v>
      </x:c>
      <x:c r="J27" s="42" t="str">
        <x:v>Full archived opening board</x:v>
      </x:c>
      <x:c r="K27" t="str">
        <x:v>No</x:v>
      </x:c>
    </x:row>
    <x:row r="28">
      <x:c r="A28" t="n">
        <x:v>2026</x:v>
      </x:c>
      <x:c r="B28" s="34" t="n">
        <x:v>46064</x:v>
      </x:c>
      <x:c r="C28" s="42" t="str">
        <x:v>Daytona 500 Pole</x:v>
      </x:c>
      <x:c r="D28" s="42" t="str">
        <x:v>Pole winner</x:v>
      </x:c>
      <x:c r="E28" s="42" t="str">
        <x:v>Ty Gibbs</x:v>
      </x:c>
      <x:c r="F28" s="36" t="n">
        <x:v>4000</x:v>
      </x:c>
      <x:c r="G28" t="str">
        <x:v>Caesars</x:v>
      </x:c>
      <x:c r="H28" s="34" t="n">
        <x:v>46035</x:v>
      </x:c>
      <x:c r="I28" s="42" t="str">
        <x:v>https://theracingexperts.com/here-are-the-opening-odds-for-the-2026-daytona-500/</x:v>
      </x:c>
      <x:c r="J28" s="42" t="str">
        <x:v>Full archived opening board</x:v>
      </x:c>
      <x:c r="K28" t="str">
        <x:v>No</x:v>
      </x:c>
    </x:row>
    <x:row r="29">
      <x:c r="A29" t="n">
        <x:v>2026</x:v>
      </x:c>
      <x:c r="B29" s="34" t="n">
        <x:v>46064</x:v>
      </x:c>
      <x:c r="C29" s="42" t="str">
        <x:v>Daytona 500 Pole</x:v>
      </x:c>
      <x:c r="D29" s="42" t="str">
        <x:v>Pole winner</x:v>
      </x:c>
      <x:c r="E29" s="42" t="str">
        <x:v>Noah Gragson</x:v>
      </x:c>
      <x:c r="F29" s="36" t="n">
        <x:v>4000</x:v>
      </x:c>
      <x:c r="G29" t="str">
        <x:v>Caesars</x:v>
      </x:c>
      <x:c r="H29" s="34" t="n">
        <x:v>46035</x:v>
      </x:c>
      <x:c r="I29" s="42" t="str">
        <x:v>https://theracingexperts.com/here-are-the-opening-odds-for-the-2026-daytona-500/</x:v>
      </x:c>
      <x:c r="J29" s="42" t="str">
        <x:v>Full archived opening board</x:v>
      </x:c>
      <x:c r="K29" t="str">
        <x:v>No</x:v>
      </x:c>
    </x:row>
    <x:row r="30">
      <x:c r="A30" t="n">
        <x:v>2026</x:v>
      </x:c>
      <x:c r="B30" s="34" t="n">
        <x:v>46064</x:v>
      </x:c>
      <x:c r="C30" s="42" t="str">
        <x:v>Daytona 500 Pole</x:v>
      </x:c>
      <x:c r="D30" s="42" t="str">
        <x:v>Pole winner</x:v>
      </x:c>
      <x:c r="E30" s="42" t="str">
        <x:v>Carson Hocevar</x:v>
      </x:c>
      <x:c r="F30" s="36" t="n">
        <x:v>4000</x:v>
      </x:c>
      <x:c r="G30" t="str">
        <x:v>Caesars</x:v>
      </x:c>
      <x:c r="H30" s="34" t="n">
        <x:v>46035</x:v>
      </x:c>
      <x:c r="I30" s="42" t="str">
        <x:v>https://theracingexperts.com/here-are-the-opening-odds-for-the-2026-daytona-500/</x:v>
      </x:c>
      <x:c r="J30" s="42" t="str">
        <x:v>Full archived opening board</x:v>
      </x:c>
      <x:c r="K30" t="str">
        <x:v>No</x:v>
      </x:c>
    </x:row>
    <x:row r="31">
      <x:c r="A31" t="n">
        <x:v>2026</x:v>
      </x:c>
      <x:c r="B31" s="34" t="n">
        <x:v>46064</x:v>
      </x:c>
      <x:c r="C31" s="42" t="str">
        <x:v>Daytona 500 Pole</x:v>
      </x:c>
      <x:c r="D31" s="42" t="str">
        <x:v>Pole winner</x:v>
      </x:c>
      <x:c r="E31" s="42" t="str">
        <x:v>Tyler Reddick</x:v>
      </x:c>
      <x:c r="F31" s="36" t="n">
        <x:v>4000</x:v>
      </x:c>
      <x:c r="G31" t="str">
        <x:v>Caesars</x:v>
      </x:c>
      <x:c r="H31" s="34" t="n">
        <x:v>46035</x:v>
      </x:c>
      <x:c r="I31" s="42" t="str">
        <x:v>https://theracingexperts.com/here-are-the-opening-odds-for-the-2026-daytona-500/</x:v>
      </x:c>
      <x:c r="J31" s="42" t="str">
        <x:v>Full archived opening board</x:v>
      </x:c>
      <x:c r="K31" t="str">
        <x:v>No</x:v>
      </x:c>
    </x:row>
    <x:row r="32">
      <x:c r="A32" t="n">
        <x:v>2026</x:v>
      </x:c>
      <x:c r="B32" s="34" t="n">
        <x:v>46064</x:v>
      </x:c>
      <x:c r="C32" s="42" t="str">
        <x:v>Daytona 500 Pole</x:v>
      </x:c>
      <x:c r="D32" s="42" t="str">
        <x:v>Pole winner</x:v>
      </x:c>
      <x:c r="E32" s="42" t="str">
        <x:v>Bubba Wallace</x:v>
      </x:c>
      <x:c r="F32" s="36" t="n">
        <x:v>4000</x:v>
      </x:c>
      <x:c r="G32" t="str">
        <x:v>Caesars</x:v>
      </x:c>
      <x:c r="H32" s="34" t="n">
        <x:v>46035</x:v>
      </x:c>
      <x:c r="I32" s="42" t="str">
        <x:v>https://theracingexperts.com/here-are-the-opening-odds-for-the-2026-daytona-500/</x:v>
      </x:c>
      <x:c r="J32" s="42" t="str">
        <x:v>Full archived opening board</x:v>
      </x:c>
      <x:c r="K32" t="str">
        <x:v>No</x:v>
      </x:c>
    </x:row>
    <x:row r="33">
      <x:c r="A33" t="n">
        <x:v>2026</x:v>
      </x:c>
      <x:c r="B33" s="34" t="n">
        <x:v>46064</x:v>
      </x:c>
      <x:c r="C33" s="42" t="str">
        <x:v>Daytona 500 Pole</x:v>
      </x:c>
      <x:c r="D33" s="42" t="str">
        <x:v>Pole winner</x:v>
      </x:c>
      <x:c r="E33" s="42" t="str">
        <x:v>Connor Zilisch</x:v>
      </x:c>
      <x:c r="F33" s="36" t="n">
        <x:v>5000</x:v>
      </x:c>
      <x:c r="G33" t="str">
        <x:v>Caesars</x:v>
      </x:c>
      <x:c r="H33" s="34" t="n">
        <x:v>46035</x:v>
      </x:c>
      <x:c r="I33" s="42" t="str">
        <x:v>https://theracingexperts.com/here-are-the-opening-odds-for-the-2026-daytona-500/</x:v>
      </x:c>
      <x:c r="J33" s="42" t="str">
        <x:v>Full archived opening board</x:v>
      </x:c>
      <x:c r="K33" t="str">
        <x:v>No</x:v>
      </x:c>
    </x:row>
    <x:row r="34">
      <x:c r="A34" t="n">
        <x:v>2026</x:v>
      </x:c>
      <x:c r="B34" s="34" t="n">
        <x:v>46064</x:v>
      </x:c>
      <x:c r="C34" s="42" t="str">
        <x:v>Daytona 500 Pole</x:v>
      </x:c>
      <x:c r="D34" s="42" t="str">
        <x:v>Pole winner</x:v>
      </x:c>
      <x:c r="E34" s="42" t="str">
        <x:v>Daniel Suarez</x:v>
      </x:c>
      <x:c r="F34" s="36" t="n">
        <x:v>7000</x:v>
      </x:c>
      <x:c r="G34" t="str">
        <x:v>Caesars</x:v>
      </x:c>
      <x:c r="H34" s="34" t="n">
        <x:v>46035</x:v>
      </x:c>
      <x:c r="I34" s="42" t="str">
        <x:v>https://theracingexperts.com/here-are-the-opening-odds-for-the-2026-daytona-500/</x:v>
      </x:c>
      <x:c r="J34" s="42" t="str">
        <x:v>Full archived opening board</x:v>
      </x:c>
      <x:c r="K34" t="str">
        <x:v>No</x:v>
      </x:c>
    </x:row>
    <x:row r="35">
      <x:c r="A35" t="n">
        <x:v>2026</x:v>
      </x:c>
      <x:c r="B35" s="34" t="n">
        <x:v>46064</x:v>
      </x:c>
      <x:c r="C35" s="42" t="str">
        <x:v>Daytona 500 Pole</x:v>
      </x:c>
      <x:c r="D35" s="42" t="str">
        <x:v>Pole winner</x:v>
      </x:c>
      <x:c r="E35" s="42" t="str">
        <x:v>Erik Jones</x:v>
      </x:c>
      <x:c r="F35" s="36" t="n">
        <x:v>8000</x:v>
      </x:c>
      <x:c r="G35" t="str">
        <x:v>Caesars</x:v>
      </x:c>
      <x:c r="H35" s="34" t="n">
        <x:v>46035</x:v>
      </x:c>
      <x:c r="I35" s="42" t="str">
        <x:v>https://theracingexperts.com/here-are-the-opening-odds-for-the-2026-daytona-500/</x:v>
      </x:c>
      <x:c r="J35" s="42" t="str">
        <x:v>Full archived opening board</x:v>
      </x:c>
      <x:c r="K35" t="str">
        <x:v>No</x:v>
      </x:c>
    </x:row>
    <x:row r="36">
      <x:c r="A36" t="n">
        <x:v>2026</x:v>
      </x:c>
      <x:c r="B36" s="34" t="n">
        <x:v>46064</x:v>
      </x:c>
      <x:c r="C36" s="42" t="str">
        <x:v>Daytona 500 Pole</x:v>
      </x:c>
      <x:c r="D36" s="42" t="str">
        <x:v>Pole winner</x:v>
      </x:c>
      <x:c r="E36" s="42" t="str">
        <x:v>Justin Allgaier</x:v>
      </x:c>
      <x:c r="F36" s="36" t="n">
        <x:v>8000</x:v>
      </x:c>
      <x:c r="G36" t="str">
        <x:v>Caesars</x:v>
      </x:c>
      <x:c r="H36" s="34" t="n">
        <x:v>46035</x:v>
      </x:c>
      <x:c r="I36" s="42" t="str">
        <x:v>https://theracingexperts.com/here-are-the-opening-odds-for-the-2026-daytona-500/</x:v>
      </x:c>
      <x:c r="J36" s="42" t="str">
        <x:v>Full archived opening board</x:v>
      </x:c>
      <x:c r="K36" t="str">
        <x:v>No</x:v>
      </x:c>
    </x:row>
    <x:row r="37">
      <x:c r="A37" t="n">
        <x:v>2026</x:v>
      </x:c>
      <x:c r="B37" s="34" t="n">
        <x:v>46064</x:v>
      </x:c>
      <x:c r="C37" s="42" t="str">
        <x:v>Daytona 500 Pole</x:v>
      </x:c>
      <x:c r="D37" s="42" t="str">
        <x:v>Pole winner</x:v>
      </x:c>
      <x:c r="E37" s="42" t="str">
        <x:v>AJ Allmendinger</x:v>
      </x:c>
      <x:c r="F37" s="36" t="n">
        <x:v>10000</x:v>
      </x:c>
      <x:c r="G37" t="str">
        <x:v>Caesars</x:v>
      </x:c>
      <x:c r="H37" s="34" t="n">
        <x:v>46035</x:v>
      </x:c>
      <x:c r="I37" s="42" t="str">
        <x:v>https://theracingexperts.com/here-are-the-opening-odds-for-the-2026-daytona-500/</x:v>
      </x:c>
      <x:c r="J37" s="42" t="str">
        <x:v>Full archived opening board</x:v>
      </x:c>
      <x:c r="K37" t="str">
        <x:v>No</x:v>
      </x:c>
    </x:row>
    <x:row r="38">
      <x:c r="A38" t="n">
        <x:v>2026</x:v>
      </x:c>
      <x:c r="B38" s="34" t="n">
        <x:v>46064</x:v>
      </x:c>
      <x:c r="C38" s="42" t="str">
        <x:v>Daytona 500 Pole</x:v>
      </x:c>
      <x:c r="D38" s="42" t="str">
        <x:v>Pole winner</x:v>
      </x:c>
      <x:c r="E38" s="42" t="str">
        <x:v>Ty Dillon</x:v>
      </x:c>
      <x:c r="F38" s="36" t="n">
        <x:v>10000</x:v>
      </x:c>
      <x:c r="G38" t="str">
        <x:v>Caesars</x:v>
      </x:c>
      <x:c r="H38" s="34" t="n">
        <x:v>46035</x:v>
      </x:c>
      <x:c r="I38" s="42" t="str">
        <x:v>https://theracingexperts.com/here-are-the-opening-odds-for-the-2026-daytona-500/</x:v>
      </x:c>
      <x:c r="J38" s="42" t="str">
        <x:v>Full archived opening board</x:v>
      </x:c>
      <x:c r="K38" t="str">
        <x:v>No</x:v>
      </x:c>
    </x:row>
    <x:row r="39">
      <x:c r="A39" t="n">
        <x:v>2026</x:v>
      </x:c>
      <x:c r="B39" s="34" t="n">
        <x:v>46064</x:v>
      </x:c>
      <x:c r="C39" s="42" t="str">
        <x:v>Daytona 500 Pole</x:v>
      </x:c>
      <x:c r="D39" s="42" t="str">
        <x:v>Pole winner</x:v>
      </x:c>
      <x:c r="E39" s="42" t="str">
        <x:v>Cole Custer</x:v>
      </x:c>
      <x:c r="F39" s="36" t="n">
        <x:v>10000</x:v>
      </x:c>
      <x:c r="G39" t="str">
        <x:v>Caesars</x:v>
      </x:c>
      <x:c r="H39" s="34" t="n">
        <x:v>46035</x:v>
      </x:c>
      <x:c r="I39" s="42" t="str">
        <x:v>https://theracingexperts.com/here-are-the-opening-odds-for-the-2026-daytona-500/</x:v>
      </x:c>
      <x:c r="J39" s="42" t="str">
        <x:v>Full archived opening board</x:v>
      </x:c>
      <x:c r="K39" t="str">
        <x:v>No</x:v>
      </x:c>
    </x:row>
    <x:row r="40">
      <x:c r="A40" t="n">
        <x:v>2026</x:v>
      </x:c>
      <x:c r="B40" s="34" t="n">
        <x:v>46064</x:v>
      </x:c>
      <x:c r="C40" s="42" t="str">
        <x:v>Daytona 500 Pole</x:v>
      </x:c>
      <x:c r="D40" s="42" t="str">
        <x:v>Pole winner</x:v>
      </x:c>
      <x:c r="E40" s="42" t="str">
        <x:v>John Hunter Nemechek</x:v>
      </x:c>
      <x:c r="F40" s="36" t="n">
        <x:v>10000</x:v>
      </x:c>
      <x:c r="G40" t="str">
        <x:v>Caesars</x:v>
      </x:c>
      <x:c r="H40" s="34" t="n">
        <x:v>46035</x:v>
      </x:c>
      <x:c r="I40" s="42" t="str">
        <x:v>https://theracingexperts.com/here-are-the-opening-odds-for-the-2026-daytona-500/</x:v>
      </x:c>
      <x:c r="J40" s="42" t="str">
        <x:v>Full archived opening board</x:v>
      </x:c>
      <x:c r="K40" t="str">
        <x:v>No</x:v>
      </x:c>
    </x:row>
    <x:row r="41">
      <x:c r="A41" t="n">
        <x:v>2026</x:v>
      </x:c>
      <x:c r="B41" s="34" t="n">
        <x:v>46064</x:v>
      </x:c>
      <x:c r="C41" s="42" t="str">
        <x:v>Daytona 500 Pole</x:v>
      </x:c>
      <x:c r="D41" s="42" t="str">
        <x:v>Pole winner</x:v>
      </x:c>
      <x:c r="E41" s="42" t="str">
        <x:v>Austin Dillon</x:v>
      </x:c>
      <x:c r="F41" s="36" t="n">
        <x:v>10000</x:v>
      </x:c>
      <x:c r="G41" t="str">
        <x:v>Caesars</x:v>
      </x:c>
      <x:c r="H41" s="34" t="n">
        <x:v>46035</x:v>
      </x:c>
      <x:c r="I41" s="42" t="str">
        <x:v>https://theracingexperts.com/here-are-the-opening-odds-for-the-2026-daytona-500/</x:v>
      </x:c>
      <x:c r="J41" s="42" t="str">
        <x:v>Full archived opening board</x:v>
      </x:c>
      <x:c r="K41" t="str">
        <x:v>No</x:v>
      </x:c>
    </x:row>
    <x:row r="42">
      <x:c r="A42" t="n">
        <x:v>2026</x:v>
      </x:c>
      <x:c r="B42" s="34" t="n">
        <x:v>46064</x:v>
      </x:c>
      <x:c r="C42" s="42" t="str">
        <x:v>Daytona 500 Pole</x:v>
      </x:c>
      <x:c r="D42" s="42" t="str">
        <x:v>Pole winner</x:v>
      </x:c>
      <x:c r="E42" s="42" t="str">
        <x:v>Ricky Stenhouse Jr.</x:v>
      </x:c>
      <x:c r="F42" s="36" t="n">
        <x:v>10000</x:v>
      </x:c>
      <x:c r="G42" t="str">
        <x:v>Caesars</x:v>
      </x:c>
      <x:c r="H42" s="34" t="n">
        <x:v>46035</x:v>
      </x:c>
      <x:c r="I42" s="42" t="str">
        <x:v>https://theracingexperts.com/here-are-the-opening-odds-for-the-2026-daytona-500/</x:v>
      </x:c>
      <x:c r="J42" s="42" t="str">
        <x:v>Full archived opening board</x:v>
      </x:c>
      <x:c r="K42" t="str">
        <x:v>No</x:v>
      </x:c>
    </x:row>
    <x:row r="43">
      <x:c r="A43" t="n">
        <x:v>2026</x:v>
      </x:c>
      <x:c r="B43" s="34" t="n">
        <x:v>46064</x:v>
      </x:c>
      <x:c r="C43" s="42" t="str">
        <x:v>Daytona 500 Pole</x:v>
      </x:c>
      <x:c r="D43" s="42" t="str">
        <x:v>Pole winner</x:v>
      </x:c>
      <x:c r="E43" s="42" t="str">
        <x:v>Riley Herbst</x:v>
      </x:c>
      <x:c r="F43" s="36" t="n">
        <x:v>12500</x:v>
      </x:c>
      <x:c r="G43" t="str">
        <x:v>Caesars</x:v>
      </x:c>
      <x:c r="H43" s="34" t="n">
        <x:v>46035</x:v>
      </x:c>
      <x:c r="I43" s="42" t="str">
        <x:v>https://theracingexperts.com/here-are-the-opening-odds-for-the-2026-daytona-500/</x:v>
      </x:c>
      <x:c r="J43" s="42" t="str">
        <x:v>Full archived opening board</x:v>
      </x:c>
      <x:c r="K43" t="str">
        <x:v>No</x:v>
      </x:c>
    </x:row>
    <x:row r="44">
      <x:c r="A44" t="n">
        <x:v>2026</x:v>
      </x:c>
      <x:c r="B44" s="34" t="n">
        <x:v>46064</x:v>
      </x:c>
      <x:c r="C44" s="42" t="str">
        <x:v>Daytona 500 Pole</x:v>
      </x:c>
      <x:c r="D44" s="42" t="str">
        <x:v>Pole winner</x:v>
      </x:c>
      <x:c r="E44" s="42" t="str">
        <x:v>Shane van Gisbergen</x:v>
      </x:c>
      <x:c r="F44" s="36" t="n">
        <x:v>12500</x:v>
      </x:c>
      <x:c r="G44" t="str">
        <x:v>Caesars</x:v>
      </x:c>
      <x:c r="H44" s="34" t="n">
        <x:v>46035</x:v>
      </x:c>
      <x:c r="I44" s="42" t="str">
        <x:v>https://theracingexperts.com/here-are-the-opening-odds-for-the-2026-daytona-500/</x:v>
      </x:c>
      <x:c r="J44" s="42" t="str">
        <x:v>Full archived opening board</x:v>
      </x:c>
      <x:c r="K44" t="str">
        <x:v>No</x:v>
      </x:c>
    </x:row>
    <x:row r="45">
      <x:c r="A45" t="n">
        <x:v>2026</x:v>
      </x:c>
      <x:c r="B45" s="34" t="n">
        <x:v>46064</x:v>
      </x:c>
      <x:c r="C45" s="42" t="str">
        <x:v>Daytona 500 Pole</x:v>
      </x:c>
      <x:c r="D45" s="42" t="str">
        <x:v>Pole winner</x:v>
      </x:c>
      <x:c r="E45" s="42" t="str">
        <x:v>Cody Ware</x:v>
      </x:c>
      <x:c r="F45" s="36" t="n">
        <x:v>20000</x:v>
      </x:c>
      <x:c r="G45" t="str">
        <x:v>Caesars</x:v>
      </x:c>
      <x:c r="H45" s="34" t="n">
        <x:v>46035</x:v>
      </x:c>
      <x:c r="I45" s="42" t="str">
        <x:v>https://theracingexperts.com/here-are-the-opening-odds-for-the-2026-daytona-500/</x:v>
      </x:c>
      <x:c r="J45" s="42" t="str">
        <x:v>Full archived opening board</x:v>
      </x:c>
      <x:c r="K45" t="str">
        <x:v>No</x:v>
      </x:c>
    </x:row>
    <x:row r="46">
      <x:c r="A46" t="n">
        <x:v>2023</x:v>
      </x:c>
      <x:c r="B46" s="34" t="n">
        <x:v>44972</x:v>
      </x:c>
      <x:c r="C46" s="42" t="str">
        <x:v>Daytona 500 Pole</x:v>
      </x:c>
      <x:c r="D46" s="42" t="str">
        <x:v>Pole winner</x:v>
      </x:c>
      <x:c r="E46" s="42" t="str">
        <x:v>Aric Almirola</x:v>
      </x:c>
      <x:c r="F46" s="36" t="n">
        <x:v>5000</x:v>
      </x:c>
      <x:c r="G46" t="str">
        <x:v>bet365</x:v>
      </x:c>
      <x:c r="H46" s="34" t="n">
        <x:v>44971</x:v>
      </x:c>
      <x:c r="I46" s="42" t="str">
        <x:v>https://www.actionnetwork.com/nascar/nascar-odds-picks-predictions-giffens-longshot-bet-for-the-daytona-500-pole</x:v>
      </x:c>
      <x:c r="J46" s="42" t="str">
        <x:v>Isolated archived recommendation; article says bet to +3300</x:v>
      </x:c>
      <x:c r="K46" t="str">
        <x:v>No</x:v>
      </x:c>
    </x:row>
  </x:sheetData>
  <x:mergeCells>
    <x:mergeCell ref="A1:K2"/>
    <x:mergeCell ref="A4:K6"/>
  </x:mergeCells>
  <x:conditionalFormatting sqref="K9:K46">
    <x:cfRule type="expression" dxfId="3" priority="1">
      <x:formula>K9="Yes"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f1c6928cfe4edf"/>
  </x:tableParts>
</x:worksheet>
</file>